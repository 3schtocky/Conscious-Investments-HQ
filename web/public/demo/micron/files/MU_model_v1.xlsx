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utputs" sheetId="1" state="visible" r:id="rId1"/>
    <sheet xmlns:r="http://schemas.openxmlformats.org/officeDocument/2006/relationships" name="Inputs" sheetId="2" state="visible" r:id="rId2"/>
    <sheet xmlns:r="http://schemas.openxmlformats.org/officeDocument/2006/relationships" name="Calc Base" sheetId="3" state="visible" r:id="rId3"/>
    <sheet xmlns:r="http://schemas.openxmlformats.org/officeDocument/2006/relationships" name="Calc Bull" sheetId="4" state="visible" r:id="rId4"/>
    <sheet xmlns:r="http://schemas.openxmlformats.org/officeDocument/2006/relationships" name="Calc Bear" sheetId="5" state="visible" r:id="rId5"/>
    <sheet xmlns:r="http://schemas.openxmlformats.org/officeDocument/2006/relationships" name="Monte Carlo" sheetId="6" state="visible" r:id="rId6"/>
    <sheet xmlns:r="http://schemas.openxmlformats.org/officeDocument/2006/relationships" name="Value Drivers" sheetId="7" state="visible" r:id="rId7"/>
  </sheets>
  <definedNames/>
  <calcPr calcId="124519" fullCalcOnLoad="1"/>
</workbook>
</file>

<file path=xl/styles.xml><?xml version="1.0" encoding="utf-8"?>
<styleSheet xmlns="http://schemas.openxmlformats.org/spreadsheetml/2006/main">
  <numFmts count="8">
    <numFmt numFmtId="164" formatCode="$#,##0.00"/>
    <numFmt numFmtId="165" formatCode="0.0%"/>
    <numFmt numFmtId="166" formatCode="0.0&quot;x&quot;"/>
    <numFmt numFmtId="167" formatCode="yyyy-mm-dd"/>
    <numFmt numFmtId="168" formatCode="#,##0,,&quot;m&quot;"/>
    <numFmt numFmtId="169" formatCode="#,##0,,&quot;m&quot;;(#,##0,,&quot;m&quot;)"/>
    <numFmt numFmtId="170" formatCode="0.0000"/>
    <numFmt numFmtId="171" formatCode="$#,##0"/>
  </numFmts>
  <fonts count="9">
    <font>
      <name val="Calibri"/>
      <family val="2"/>
      <color theme="1"/>
      <sz val="11"/>
      <scheme val="minor"/>
    </font>
    <font>
      <name val="Calibri"/>
      <b val="1"/>
      <sz val="14"/>
    </font>
    <font>
      <name val="Calibri"/>
      <b val="1"/>
    </font>
    <font>
      <name val="Calibri"/>
    </font>
    <font>
      <name val="Calibri"/>
      <color rgb="000000FF"/>
    </font>
    <font>
      <name val="Calibri"/>
      <b val="1"/>
      <color rgb="00FFFFFF"/>
    </font>
    <font>
      <name val="Calibri"/>
      <color rgb="00000000"/>
    </font>
    <font>
      <name val="Calibri"/>
      <color rgb="00007A33"/>
    </font>
    <font>
      <name val="Calibri"/>
      <i val="1"/>
      <color rgb="005F5B55"/>
    </font>
  </fonts>
  <fills count="5">
    <fill>
      <patternFill/>
    </fill>
    <fill>
      <patternFill patternType="gray125"/>
    </fill>
    <fill>
      <patternFill patternType="solid">
        <fgColor rgb="00ECEAE1"/>
      </patternFill>
    </fill>
    <fill>
      <patternFill patternType="solid">
        <fgColor rgb="00FFF8E1"/>
      </patternFill>
    </fill>
    <fill>
      <patternFill patternType="solid">
        <fgColor rgb="002E2C29"/>
      </patternFill>
    </fill>
  </fills>
  <borders count="1">
    <border>
      <left/>
      <right/>
      <top/>
      <bottom/>
      <diagonal/>
    </border>
  </borders>
  <cellStyleXfs count="1">
    <xf numFmtId="0" fontId="0" fillId="0" borderId="0"/>
  </cellStyleXfs>
  <cellXfs count="58">
    <xf numFmtId="0" fontId="0" fillId="0" borderId="0" pivotButton="0" quotePrefix="0" xfId="0"/>
    <xf numFmtId="0" fontId="1" fillId="0" borderId="0" pivotButton="0" quotePrefix="0" xfId="0"/>
    <xf numFmtId="0" fontId="2" fillId="0" borderId="0" pivotButton="0" quotePrefix="0" xfId="0"/>
    <xf numFmtId="0" fontId="5" fillId="4" borderId="0" pivotButton="0" quotePrefix="0" xfId="0"/>
    <xf numFmtId="164" fontId="7" fillId="0" borderId="0" pivotButton="0" quotePrefix="0" xfId="0"/>
    <xf numFmtId="165" fontId="7" fillId="0" borderId="0" pivotButton="0" quotePrefix="0" xfId="0"/>
    <xf numFmtId="0" fontId="3" fillId="0" borderId="0" pivotButton="0" quotePrefix="0" xfId="0"/>
    <xf numFmtId="165" fontId="6" fillId="0" borderId="0" pivotButton="0" quotePrefix="0" xfId="0"/>
    <xf numFmtId="4" fontId="2" fillId="0" borderId="0" pivotButton="0" quotePrefix="0" xfId="0"/>
    <xf numFmtId="4" fontId="4" fillId="3" borderId="0" pivotButton="0" quotePrefix="0" xfId="0"/>
    <xf numFmtId="166" fontId="2" fillId="0" borderId="0" pivotButton="0" quotePrefix="0" xfId="0"/>
    <xf numFmtId="165" fontId="4" fillId="3" borderId="0" pivotButton="0" quotePrefix="0" xfId="0"/>
    <xf numFmtId="165" fontId="2" fillId="0" borderId="0" pivotButton="0" quotePrefix="0" xfId="0"/>
    <xf numFmtId="164" fontId="0" fillId="0" borderId="0" pivotButton="0" quotePrefix="0" xfId="0"/>
    <xf numFmtId="0" fontId="2" fillId="2" borderId="0" pivotButton="0" quotePrefix="0" xfId="0"/>
    <xf numFmtId="0" fontId="0" fillId="2" borderId="0" pivotButton="0" quotePrefix="0" xfId="0"/>
    <xf numFmtId="164" fontId="4" fillId="3" borderId="0" pivotButton="0" quotePrefix="0" xfId="0"/>
    <xf numFmtId="167" fontId="4" fillId="3" borderId="0" pivotButton="0" quotePrefix="0" xfId="0"/>
    <xf numFmtId="1" fontId="4" fillId="3" borderId="0" pivotButton="0" quotePrefix="0" xfId="0"/>
    <xf numFmtId="168" fontId="4" fillId="3" borderId="0" pivotButton="0" quotePrefix="0" xfId="0"/>
    <xf numFmtId="169" fontId="4" fillId="3" borderId="0" pivotButton="0" quotePrefix="0" xfId="0"/>
    <xf numFmtId="170" fontId="4" fillId="3" borderId="0" pivotButton="0" quotePrefix="0" xfId="0"/>
    <xf numFmtId="0" fontId="5" fillId="4" borderId="0" applyAlignment="1" pivotButton="0" quotePrefix="0" xfId="0">
      <alignment horizontal="center"/>
    </xf>
    <xf numFmtId="166" fontId="4" fillId="3" borderId="0" pivotButton="0" quotePrefix="0" xfId="0"/>
    <xf numFmtId="0" fontId="4" fillId="0" borderId="0" pivotButton="0" quotePrefix="0" xfId="0"/>
    <xf numFmtId="170" fontId="6" fillId="0" borderId="0" pivotButton="0" quotePrefix="0" xfId="0"/>
    <xf numFmtId="1" fontId="6" fillId="0" borderId="0" pivotButton="0" quotePrefix="0" xfId="0"/>
    <xf numFmtId="169" fontId="7" fillId="0" borderId="0" pivotButton="0" quotePrefix="0" xfId="0"/>
    <xf numFmtId="169" fontId="6" fillId="0" borderId="0" pivotButton="0" quotePrefix="0" xfId="0"/>
    <xf numFmtId="169" fontId="2" fillId="0" borderId="0" pivotButton="0" quotePrefix="0" xfId="0"/>
    <xf numFmtId="168" fontId="7" fillId="0" borderId="0" pivotButton="0" quotePrefix="0" xfId="0"/>
    <xf numFmtId="168" fontId="6" fillId="0" borderId="0" pivotButton="0" quotePrefix="0" xfId="0"/>
    <xf numFmtId="164" fontId="6" fillId="0" borderId="0" pivotButton="0" quotePrefix="0" xfId="0"/>
    <xf numFmtId="167" fontId="7" fillId="0" borderId="0" pivotButton="0" quotePrefix="0" xfId="0"/>
    <xf numFmtId="167" fontId="6" fillId="0" borderId="0" pivotButton="0" quotePrefix="0" xfId="0"/>
    <xf numFmtId="164" fontId="2" fillId="0" borderId="0" pivotButton="0" quotePrefix="0" xfId="0"/>
    <xf numFmtId="165" fontId="7" fillId="0" borderId="0" pivotButton="0" quotePrefix="0" xfId="0"/>
    <xf numFmtId="165" fontId="6" fillId="0" borderId="0" pivotButton="0" quotePrefix="0" xfId="0"/>
    <xf numFmtId="166" fontId="2" fillId="0" borderId="0" pivotButton="0" quotePrefix="0" xfId="0"/>
    <xf numFmtId="165" fontId="4" fillId="3" borderId="0" pivotButton="0" quotePrefix="0" xfId="0"/>
    <xf numFmtId="165" fontId="2" fillId="0" borderId="0" pivotButton="0" quotePrefix="0" xfId="0"/>
    <xf numFmtId="167" fontId="4" fillId="3" borderId="0" pivotButton="0" quotePrefix="0" xfId="0"/>
    <xf numFmtId="168" fontId="4" fillId="3" borderId="0" pivotButton="0" quotePrefix="0" xfId="0"/>
    <xf numFmtId="169" fontId="4" fillId="3" borderId="0" pivotButton="0" quotePrefix="0" xfId="0"/>
    <xf numFmtId="170" fontId="4" fillId="3" borderId="0" pivotButton="0" quotePrefix="0" xfId="0"/>
    <xf numFmtId="166" fontId="4" fillId="3" borderId="0" pivotButton="0" quotePrefix="0" xfId="0"/>
    <xf numFmtId="170" fontId="6" fillId="0" borderId="0" pivotButton="0" quotePrefix="0" xfId="0"/>
    <xf numFmtId="169" fontId="7" fillId="0" borderId="0" pivotButton="0" quotePrefix="0" xfId="0"/>
    <xf numFmtId="169" fontId="6" fillId="0" borderId="0" pivotButton="0" quotePrefix="0" xfId="0"/>
    <xf numFmtId="169" fontId="2" fillId="0" borderId="0" pivotButton="0" quotePrefix="0" xfId="0"/>
    <xf numFmtId="168" fontId="7" fillId="0" borderId="0" pivotButton="0" quotePrefix="0" xfId="0"/>
    <xf numFmtId="168" fontId="6" fillId="0" borderId="0" pivotButton="0" quotePrefix="0" xfId="0"/>
    <xf numFmtId="167" fontId="7" fillId="0" borderId="0" pivotButton="0" quotePrefix="0" xfId="0"/>
    <xf numFmtId="167" fontId="6" fillId="0" borderId="0" pivotButton="0" quotePrefix="0" xfId="0"/>
    <xf numFmtId="0" fontId="8" fillId="0" borderId="0" pivotButton="0" quotePrefix="0" xfId="0"/>
    <xf numFmtId="10" fontId="0" fillId="0" borderId="0" pivotButton="0" quotePrefix="0" xfId="0"/>
    <xf numFmtId="9" fontId="0" fillId="0" borderId="0" pivotButton="0" quotePrefix="0" xfId="0"/>
    <xf numFmtId="171"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Simulated price targets</a:t>
            </a:r>
          </a:p>
        </rich>
      </tx>
    </title>
    <plotArea>
      <barChart>
        <barDir val="col"/>
        <grouping val="clustered"/>
        <ser>
          <idx val="0"/>
          <order val="0"/>
          <tx>
            <strRef>
              <f>'Monte Carlo'!B23</f>
            </strRef>
          </tx>
          <spPr>
            <a:ln xmlns:a="http://schemas.openxmlformats.org/drawingml/2006/main">
              <a:prstDash val="solid"/>
            </a:ln>
          </spPr>
          <cat>
            <numRef>
              <f>'Monte Carlo'!$A$24:$A$43</f>
            </numRef>
          </cat>
          <val>
            <numRef>
              <f>'Monte Carlo'!$B$24:$B$43</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Price target</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Runs</a:t>
                </a:r>
              </a:p>
            </rich>
          </tx>
        </title>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Price target swing by driver</a:t>
            </a:r>
          </a:p>
        </rich>
      </tx>
    </title>
    <plotArea>
      <barChart>
        <barDir val="bar"/>
        <grouping val="clustered"/>
        <ser>
          <idx val="0"/>
          <order val="0"/>
          <tx>
            <strRef>
              <f>'Value Drivers'!F4</f>
            </strRef>
          </tx>
          <spPr>
            <a:ln xmlns:a="http://schemas.openxmlformats.org/drawingml/2006/main">
              <a:prstDash val="solid"/>
            </a:ln>
          </spPr>
          <cat>
            <numRef>
              <f>'Value Drivers'!$A$5:$A$10</f>
            </numRef>
          </cat>
          <val>
            <numRef>
              <f>'Value Drivers'!$F$5:$F$10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3</col>
      <colOff>0</colOff>
      <row>3</row>
      <rowOff>0</rowOff>
    </from>
    <ext cx="792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0</col>
      <colOff>0</colOff>
      <row>12</row>
      <rowOff>0</rowOff>
    </from>
    <ext cx="720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Relationships>
</file>

<file path=xl/worksheets/_rels/sheet7.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38" customWidth="1" min="1" max="1"/>
    <col width="16" customWidth="1" min="2" max="2"/>
    <col width="14" customWidth="1" min="3" max="3"/>
    <col width="14" customWidth="1" min="4" max="4"/>
    <col width="14" customWidth="1" min="5" max="5"/>
    <col width="14" customWidth="1" min="6" max="6"/>
    <col width="14" customWidth="1" min="7" max="7"/>
    <col width="90" customWidth="1" min="8" max="8"/>
  </cols>
  <sheetData>
    <row r="1">
      <c r="A1" s="1" t="inlineStr">
        <is>
          <t>MU model v1: outputs</t>
        </is>
      </c>
    </row>
    <row r="2">
      <c r="A2" t="inlineStr">
        <is>
          <t>Prepared by Delta, Quant. Draft until the Captain approves it; approved versions are the firm's official numbers.</t>
        </is>
      </c>
    </row>
    <row r="4">
      <c r="A4" s="2" t="inlineStr">
        <is>
          <t>Scenario</t>
        </is>
      </c>
      <c r="B4" s="3" t="inlineStr">
        <is>
          <t>Price target</t>
        </is>
      </c>
      <c r="C4" s="3" t="inlineStr">
        <is>
          <t>Price return</t>
        </is>
      </c>
      <c r="D4" s="3" t="inlineStr">
        <is>
          <t>Total return</t>
        </is>
      </c>
      <c r="E4" s="3" t="inlineStr">
        <is>
          <t>DCF value today</t>
        </is>
      </c>
      <c r="F4" s="3" t="inlineStr">
        <is>
          <t>WACC</t>
        </is>
      </c>
      <c r="G4" s="3" t="inlineStr">
        <is>
          <t>TV share of EV</t>
        </is>
      </c>
    </row>
    <row r="5">
      <c r="A5" s="2" t="inlineStr">
        <is>
          <t>Bull</t>
        </is>
      </c>
      <c r="B5" s="4">
        <f>'Calc Bull'!$B$71</f>
        <v/>
      </c>
      <c r="C5" s="36">
        <f>'Calc Bull'!$B$75</f>
        <v/>
      </c>
      <c r="D5" s="36">
        <f>'Calc Bull'!$B$76</f>
        <v/>
      </c>
      <c r="E5" s="4">
        <f>'Calc Bull'!$B$58</f>
        <v/>
      </c>
      <c r="F5" s="36">
        <f>'Calc Bull'!$B$38</f>
        <v/>
      </c>
      <c r="G5" s="36">
        <f>'Calc Bull'!$B$59</f>
        <v/>
      </c>
    </row>
    <row r="6">
      <c r="A6" s="2" t="inlineStr">
        <is>
          <t>Base</t>
        </is>
      </c>
      <c r="B6" s="4">
        <f>'Calc Base'!$B$71</f>
        <v/>
      </c>
      <c r="C6" s="36">
        <f>'Calc Base'!$B$75</f>
        <v/>
      </c>
      <c r="D6" s="36">
        <f>'Calc Base'!$B$76</f>
        <v/>
      </c>
      <c r="E6" s="4">
        <f>'Calc Base'!$B$58</f>
        <v/>
      </c>
      <c r="F6" s="36">
        <f>'Calc Base'!$B$38</f>
        <v/>
      </c>
      <c r="G6" s="36">
        <f>'Calc Base'!$B$59</f>
        <v/>
      </c>
    </row>
    <row r="7">
      <c r="A7" s="2" t="inlineStr">
        <is>
          <t>Bear</t>
        </is>
      </c>
      <c r="B7" s="4">
        <f>'Calc Bear'!$B$71</f>
        <v/>
      </c>
      <c r="C7" s="36">
        <f>'Calc Bear'!$B$75</f>
        <v/>
      </c>
      <c r="D7" s="36">
        <f>'Calc Bear'!$B$76</f>
        <v/>
      </c>
      <c r="E7" s="4">
        <f>'Calc Bear'!$B$58</f>
        <v/>
      </c>
      <c r="F7" s="36">
        <f>'Calc Bear'!$B$38</f>
        <v/>
      </c>
      <c r="G7" s="36">
        <f>'Calc Bear'!$B$59</f>
        <v/>
      </c>
    </row>
    <row r="9">
      <c r="A9" s="2" t="inlineStr">
        <is>
          <t>Base case: method values</t>
        </is>
      </c>
    </row>
    <row r="10">
      <c r="A10" t="inlineStr">
        <is>
          <t>dcf</t>
        </is>
      </c>
      <c r="B10" s="4">
        <f>'Calc Base'!$B$68</f>
        <v/>
      </c>
      <c r="C10" s="36">
        <f>'Calc Base'!$B$72</f>
        <v/>
      </c>
    </row>
    <row r="11">
      <c r="A11" t="inlineStr">
        <is>
          <t>pe</t>
        </is>
      </c>
      <c r="B11" s="4">
        <f>'Calc Base'!$B$69</f>
        <v/>
      </c>
      <c r="C11" s="36">
        <f>'Calc Base'!$B$73</f>
        <v/>
      </c>
    </row>
    <row r="12">
      <c r="A12" t="inlineStr">
        <is>
          <t>ev_ebitda</t>
        </is>
      </c>
      <c r="B12" s="4">
        <f>'Calc Base'!$B$70</f>
        <v/>
      </c>
      <c r="C12" s="36">
        <f>'Calc Base'!$B$74</f>
        <v/>
      </c>
    </row>
    <row r="14">
      <c r="A14" s="2" t="inlineStr">
        <is>
          <t>Rating</t>
        </is>
      </c>
    </row>
    <row r="15">
      <c r="A15" s="6" t="inlineStr">
        <is>
          <t>S&amp;P 500 expected return over the horizon</t>
        </is>
      </c>
      <c r="B15" s="37">
        <f>(1+Inputs!$B$69)^'Calc Base'!$B$62-1</f>
        <v/>
      </c>
    </row>
    <row r="16">
      <c r="A16" s="6" t="inlineStr">
        <is>
          <t>Base-case excess return</t>
        </is>
      </c>
      <c r="B16" s="37">
        <f>'Calc Base'!$B$76-Outputs!$B$15</f>
        <v/>
      </c>
    </row>
    <row r="17">
      <c r="A17" s="2" t="inlineStr">
        <is>
          <t>Rating</t>
        </is>
      </c>
      <c r="B17" s="8">
        <f>IF(Outputs!$B$16&gt;Inputs!$B$70,"Outperform",IF(Outputs!$B$16&lt;-Inputs!$B$70,"Underperform","Neutral"))</f>
        <v/>
      </c>
    </row>
    <row r="19">
      <c r="A19" s="2" t="inlineStr">
        <is>
          <t>Sensitivity: base-case DCF value at the target date</t>
        </is>
      </c>
    </row>
    <row r="20">
      <c r="A20" s="2" t="inlineStr">
        <is>
          <t>Steps (inputs)</t>
        </is>
      </c>
      <c r="C20" s="9" t="n">
        <v>-2</v>
      </c>
      <c r="D20" s="9" t="n">
        <v>-1</v>
      </c>
      <c r="E20" s="9" t="n">
        <v>0</v>
      </c>
      <c r="F20" s="9" t="n">
        <v>1</v>
      </c>
      <c r="G20" s="9" t="n">
        <v>2</v>
      </c>
    </row>
    <row r="21">
      <c r="A21" s="2" t="inlineStr">
        <is>
          <t>WACC step (input) / WACC</t>
        </is>
      </c>
      <c r="B21" s="2" t="inlineStr">
        <is>
          <t>Exit EV/EBITDA</t>
        </is>
      </c>
      <c r="C21" s="38">
        <f>Inputs!$B$46+C20</f>
        <v/>
      </c>
      <c r="D21" s="38">
        <f>Inputs!$B$46+D20</f>
        <v/>
      </c>
      <c r="E21" s="38">
        <f>Inputs!$B$46+E20</f>
        <v/>
      </c>
      <c r="F21" s="38">
        <f>Inputs!$B$46+F20</f>
        <v/>
      </c>
      <c r="G21" s="38">
        <f>Inputs!$B$46+G20</f>
        <v/>
      </c>
    </row>
    <row r="22">
      <c r="A22" s="39" t="n">
        <v>-0.01</v>
      </c>
      <c r="B22" s="40">
        <f>'Calc Base'!$B$38+A22</f>
        <v/>
      </c>
      <c r="C22" s="13">
        <f>(('Calc Base'!$C$32*'Calc Base'!$C$47*(1+$B22)^-'Calc Base'!$C$48+'Calc Base'!$D$32*'Calc Base'!$D$47*(1+$B22)^-'Calc Base'!$D$48+'Calc Base'!$E$32*'Calc Base'!$E$47*(1+$B22)^-'Calc Base'!$E$48+'Calc Base'!$F$32*'Calc Base'!$F$47*(1+$B22)^-'Calc Base'!$F$48+'Calc Base'!$G$32*'Calc Base'!$G$47*(1+$B22)^-'Calc Base'!$G$48)+C$21*'Calc Base'!$G$20*(1+$B22)^-'Calc Base'!$B$52-Inputs!$B$12)/Inputs!$B$11*Inputs!$B$14/Inputs!$B$15*(1+'Calc Base'!$B$35)^'Calc Base'!$B$62-Inputs!$B$13*'Calc Base'!$B$62</f>
        <v/>
      </c>
      <c r="D22" s="13">
        <f>(('Calc Base'!$C$32*'Calc Base'!$C$47*(1+$B22)^-'Calc Base'!$C$48+'Calc Base'!$D$32*'Calc Base'!$D$47*(1+$B22)^-'Calc Base'!$D$48+'Calc Base'!$E$32*'Calc Base'!$E$47*(1+$B22)^-'Calc Base'!$E$48+'Calc Base'!$F$32*'Calc Base'!$F$47*(1+$B22)^-'Calc Base'!$F$48+'Calc Base'!$G$32*'Calc Base'!$G$47*(1+$B22)^-'Calc Base'!$G$48)+D$21*'Calc Base'!$G$20*(1+$B22)^-'Calc Base'!$B$52-Inputs!$B$12)/Inputs!$B$11*Inputs!$B$14/Inputs!$B$15*(1+'Calc Base'!$B$35)^'Calc Base'!$B$62-Inputs!$B$13*'Calc Base'!$B$62</f>
        <v/>
      </c>
      <c r="E22" s="13">
        <f>(('Calc Base'!$C$32*'Calc Base'!$C$47*(1+$B22)^-'Calc Base'!$C$48+'Calc Base'!$D$32*'Calc Base'!$D$47*(1+$B22)^-'Calc Base'!$D$48+'Calc Base'!$E$32*'Calc Base'!$E$47*(1+$B22)^-'Calc Base'!$E$48+'Calc Base'!$F$32*'Calc Base'!$F$47*(1+$B22)^-'Calc Base'!$F$48+'Calc Base'!$G$32*'Calc Base'!$G$47*(1+$B22)^-'Calc Base'!$G$48)+E$21*'Calc Base'!$G$20*(1+$B22)^-'Calc Base'!$B$52-Inputs!$B$12)/Inputs!$B$11*Inputs!$B$14/Inputs!$B$15*(1+'Calc Base'!$B$35)^'Calc Base'!$B$62-Inputs!$B$13*'Calc Base'!$B$62</f>
        <v/>
      </c>
      <c r="F22" s="13">
        <f>(('Calc Base'!$C$32*'Calc Base'!$C$47*(1+$B22)^-'Calc Base'!$C$48+'Calc Base'!$D$32*'Calc Base'!$D$47*(1+$B22)^-'Calc Base'!$D$48+'Calc Base'!$E$32*'Calc Base'!$E$47*(1+$B22)^-'Calc Base'!$E$48+'Calc Base'!$F$32*'Calc Base'!$F$47*(1+$B22)^-'Calc Base'!$F$48+'Calc Base'!$G$32*'Calc Base'!$G$47*(1+$B22)^-'Calc Base'!$G$48)+F$21*'Calc Base'!$G$20*(1+$B22)^-'Calc Base'!$B$52-Inputs!$B$12)/Inputs!$B$11*Inputs!$B$14/Inputs!$B$15*(1+'Calc Base'!$B$35)^'Calc Base'!$B$62-Inputs!$B$13*'Calc Base'!$B$62</f>
        <v/>
      </c>
      <c r="G22" s="13">
        <f>(('Calc Base'!$C$32*'Calc Base'!$C$47*(1+$B22)^-'Calc Base'!$C$48+'Calc Base'!$D$32*'Calc Base'!$D$47*(1+$B22)^-'Calc Base'!$D$48+'Calc Base'!$E$32*'Calc Base'!$E$47*(1+$B22)^-'Calc Base'!$E$48+'Calc Base'!$F$32*'Calc Base'!$F$47*(1+$B22)^-'Calc Base'!$F$48+'Calc Base'!$G$32*'Calc Base'!$G$47*(1+$B22)^-'Calc Base'!$G$48)+G$21*'Calc Base'!$G$20*(1+$B22)^-'Calc Base'!$B$52-Inputs!$B$12)/Inputs!$B$11*Inputs!$B$14/Inputs!$B$15*(1+'Calc Base'!$B$35)^'Calc Base'!$B$62-Inputs!$B$13*'Calc Base'!$B$62</f>
        <v/>
      </c>
    </row>
    <row r="23">
      <c r="A23" s="39" t="n">
        <v>-0.005</v>
      </c>
      <c r="B23" s="40">
        <f>'Calc Base'!$B$38+A23</f>
        <v/>
      </c>
      <c r="C23" s="13">
        <f>(('Calc Base'!$C$32*'Calc Base'!$C$47*(1+$B23)^-'Calc Base'!$C$48+'Calc Base'!$D$32*'Calc Base'!$D$47*(1+$B23)^-'Calc Base'!$D$48+'Calc Base'!$E$32*'Calc Base'!$E$47*(1+$B23)^-'Calc Base'!$E$48+'Calc Base'!$F$32*'Calc Base'!$F$47*(1+$B23)^-'Calc Base'!$F$48+'Calc Base'!$G$32*'Calc Base'!$G$47*(1+$B23)^-'Calc Base'!$G$48)+C$21*'Calc Base'!$G$20*(1+$B23)^-'Calc Base'!$B$52-Inputs!$B$12)/Inputs!$B$11*Inputs!$B$14/Inputs!$B$15*(1+'Calc Base'!$B$35)^'Calc Base'!$B$62-Inputs!$B$13*'Calc Base'!$B$62</f>
        <v/>
      </c>
      <c r="D23" s="13">
        <f>(('Calc Base'!$C$32*'Calc Base'!$C$47*(1+$B23)^-'Calc Base'!$C$48+'Calc Base'!$D$32*'Calc Base'!$D$47*(1+$B23)^-'Calc Base'!$D$48+'Calc Base'!$E$32*'Calc Base'!$E$47*(1+$B23)^-'Calc Base'!$E$48+'Calc Base'!$F$32*'Calc Base'!$F$47*(1+$B23)^-'Calc Base'!$F$48+'Calc Base'!$G$32*'Calc Base'!$G$47*(1+$B23)^-'Calc Base'!$G$48)+D$21*'Calc Base'!$G$20*(1+$B23)^-'Calc Base'!$B$52-Inputs!$B$12)/Inputs!$B$11*Inputs!$B$14/Inputs!$B$15*(1+'Calc Base'!$B$35)^'Calc Base'!$B$62-Inputs!$B$13*'Calc Base'!$B$62</f>
        <v/>
      </c>
      <c r="E23" s="13">
        <f>(('Calc Base'!$C$32*'Calc Base'!$C$47*(1+$B23)^-'Calc Base'!$C$48+'Calc Base'!$D$32*'Calc Base'!$D$47*(1+$B23)^-'Calc Base'!$D$48+'Calc Base'!$E$32*'Calc Base'!$E$47*(1+$B23)^-'Calc Base'!$E$48+'Calc Base'!$F$32*'Calc Base'!$F$47*(1+$B23)^-'Calc Base'!$F$48+'Calc Base'!$G$32*'Calc Base'!$G$47*(1+$B23)^-'Calc Base'!$G$48)+E$21*'Calc Base'!$G$20*(1+$B23)^-'Calc Base'!$B$52-Inputs!$B$12)/Inputs!$B$11*Inputs!$B$14/Inputs!$B$15*(1+'Calc Base'!$B$35)^'Calc Base'!$B$62-Inputs!$B$13*'Calc Base'!$B$62</f>
        <v/>
      </c>
      <c r="F23" s="13">
        <f>(('Calc Base'!$C$32*'Calc Base'!$C$47*(1+$B23)^-'Calc Base'!$C$48+'Calc Base'!$D$32*'Calc Base'!$D$47*(1+$B23)^-'Calc Base'!$D$48+'Calc Base'!$E$32*'Calc Base'!$E$47*(1+$B23)^-'Calc Base'!$E$48+'Calc Base'!$F$32*'Calc Base'!$F$47*(1+$B23)^-'Calc Base'!$F$48+'Calc Base'!$G$32*'Calc Base'!$G$47*(1+$B23)^-'Calc Base'!$G$48)+F$21*'Calc Base'!$G$20*(1+$B23)^-'Calc Base'!$B$52-Inputs!$B$12)/Inputs!$B$11*Inputs!$B$14/Inputs!$B$15*(1+'Calc Base'!$B$35)^'Calc Base'!$B$62-Inputs!$B$13*'Calc Base'!$B$62</f>
        <v/>
      </c>
      <c r="G23" s="13">
        <f>(('Calc Base'!$C$32*'Calc Base'!$C$47*(1+$B23)^-'Calc Base'!$C$48+'Calc Base'!$D$32*'Calc Base'!$D$47*(1+$B23)^-'Calc Base'!$D$48+'Calc Base'!$E$32*'Calc Base'!$E$47*(1+$B23)^-'Calc Base'!$E$48+'Calc Base'!$F$32*'Calc Base'!$F$47*(1+$B23)^-'Calc Base'!$F$48+'Calc Base'!$G$32*'Calc Base'!$G$47*(1+$B23)^-'Calc Base'!$G$48)+G$21*'Calc Base'!$G$20*(1+$B23)^-'Calc Base'!$B$52-Inputs!$B$12)/Inputs!$B$11*Inputs!$B$14/Inputs!$B$15*(1+'Calc Base'!$B$35)^'Calc Base'!$B$62-Inputs!$B$13*'Calc Base'!$B$62</f>
        <v/>
      </c>
    </row>
    <row r="24">
      <c r="A24" s="39" t="n">
        <v>0</v>
      </c>
      <c r="B24" s="40">
        <f>'Calc Base'!$B$38+A24</f>
        <v/>
      </c>
      <c r="C24" s="13">
        <f>(('Calc Base'!$C$32*'Calc Base'!$C$47*(1+$B24)^-'Calc Base'!$C$48+'Calc Base'!$D$32*'Calc Base'!$D$47*(1+$B24)^-'Calc Base'!$D$48+'Calc Base'!$E$32*'Calc Base'!$E$47*(1+$B24)^-'Calc Base'!$E$48+'Calc Base'!$F$32*'Calc Base'!$F$47*(1+$B24)^-'Calc Base'!$F$48+'Calc Base'!$G$32*'Calc Base'!$G$47*(1+$B24)^-'Calc Base'!$G$48)+C$21*'Calc Base'!$G$20*(1+$B24)^-'Calc Base'!$B$52-Inputs!$B$12)/Inputs!$B$11*Inputs!$B$14/Inputs!$B$15*(1+'Calc Base'!$B$35)^'Calc Base'!$B$62-Inputs!$B$13*'Calc Base'!$B$62</f>
        <v/>
      </c>
      <c r="D24" s="13">
        <f>(('Calc Base'!$C$32*'Calc Base'!$C$47*(1+$B24)^-'Calc Base'!$C$48+'Calc Base'!$D$32*'Calc Base'!$D$47*(1+$B24)^-'Calc Base'!$D$48+'Calc Base'!$E$32*'Calc Base'!$E$47*(1+$B24)^-'Calc Base'!$E$48+'Calc Base'!$F$32*'Calc Base'!$F$47*(1+$B24)^-'Calc Base'!$F$48+'Calc Base'!$G$32*'Calc Base'!$G$47*(1+$B24)^-'Calc Base'!$G$48)+D$21*'Calc Base'!$G$20*(1+$B24)^-'Calc Base'!$B$52-Inputs!$B$12)/Inputs!$B$11*Inputs!$B$14/Inputs!$B$15*(1+'Calc Base'!$B$35)^'Calc Base'!$B$62-Inputs!$B$13*'Calc Base'!$B$62</f>
        <v/>
      </c>
      <c r="E24" s="13">
        <f>(('Calc Base'!$C$32*'Calc Base'!$C$47*(1+$B24)^-'Calc Base'!$C$48+'Calc Base'!$D$32*'Calc Base'!$D$47*(1+$B24)^-'Calc Base'!$D$48+'Calc Base'!$E$32*'Calc Base'!$E$47*(1+$B24)^-'Calc Base'!$E$48+'Calc Base'!$F$32*'Calc Base'!$F$47*(1+$B24)^-'Calc Base'!$F$48+'Calc Base'!$G$32*'Calc Base'!$G$47*(1+$B24)^-'Calc Base'!$G$48)+E$21*'Calc Base'!$G$20*(1+$B24)^-'Calc Base'!$B$52-Inputs!$B$12)/Inputs!$B$11*Inputs!$B$14/Inputs!$B$15*(1+'Calc Base'!$B$35)^'Calc Base'!$B$62-Inputs!$B$13*'Calc Base'!$B$62</f>
        <v/>
      </c>
      <c r="F24" s="13">
        <f>(('Calc Base'!$C$32*'Calc Base'!$C$47*(1+$B24)^-'Calc Base'!$C$48+'Calc Base'!$D$32*'Calc Base'!$D$47*(1+$B24)^-'Calc Base'!$D$48+'Calc Base'!$E$32*'Calc Base'!$E$47*(1+$B24)^-'Calc Base'!$E$48+'Calc Base'!$F$32*'Calc Base'!$F$47*(1+$B24)^-'Calc Base'!$F$48+'Calc Base'!$G$32*'Calc Base'!$G$47*(1+$B24)^-'Calc Base'!$G$48)+F$21*'Calc Base'!$G$20*(1+$B24)^-'Calc Base'!$B$52-Inputs!$B$12)/Inputs!$B$11*Inputs!$B$14/Inputs!$B$15*(1+'Calc Base'!$B$35)^'Calc Base'!$B$62-Inputs!$B$13*'Calc Base'!$B$62</f>
        <v/>
      </c>
      <c r="G24" s="13">
        <f>(('Calc Base'!$C$32*'Calc Base'!$C$47*(1+$B24)^-'Calc Base'!$C$48+'Calc Base'!$D$32*'Calc Base'!$D$47*(1+$B24)^-'Calc Base'!$D$48+'Calc Base'!$E$32*'Calc Base'!$E$47*(1+$B24)^-'Calc Base'!$E$48+'Calc Base'!$F$32*'Calc Base'!$F$47*(1+$B24)^-'Calc Base'!$F$48+'Calc Base'!$G$32*'Calc Base'!$G$47*(1+$B24)^-'Calc Base'!$G$48)+G$21*'Calc Base'!$G$20*(1+$B24)^-'Calc Base'!$B$52-Inputs!$B$12)/Inputs!$B$11*Inputs!$B$14/Inputs!$B$15*(1+'Calc Base'!$B$35)^'Calc Base'!$B$62-Inputs!$B$13*'Calc Base'!$B$62</f>
        <v/>
      </c>
    </row>
    <row r="25">
      <c r="A25" s="39" t="n">
        <v>0.005</v>
      </c>
      <c r="B25" s="40">
        <f>'Calc Base'!$B$38+A25</f>
        <v/>
      </c>
      <c r="C25" s="13">
        <f>(('Calc Base'!$C$32*'Calc Base'!$C$47*(1+$B25)^-'Calc Base'!$C$48+'Calc Base'!$D$32*'Calc Base'!$D$47*(1+$B25)^-'Calc Base'!$D$48+'Calc Base'!$E$32*'Calc Base'!$E$47*(1+$B25)^-'Calc Base'!$E$48+'Calc Base'!$F$32*'Calc Base'!$F$47*(1+$B25)^-'Calc Base'!$F$48+'Calc Base'!$G$32*'Calc Base'!$G$47*(1+$B25)^-'Calc Base'!$G$48)+C$21*'Calc Base'!$G$20*(1+$B25)^-'Calc Base'!$B$52-Inputs!$B$12)/Inputs!$B$11*Inputs!$B$14/Inputs!$B$15*(1+'Calc Base'!$B$35)^'Calc Base'!$B$62-Inputs!$B$13*'Calc Base'!$B$62</f>
        <v/>
      </c>
      <c r="D25" s="13">
        <f>(('Calc Base'!$C$32*'Calc Base'!$C$47*(1+$B25)^-'Calc Base'!$C$48+'Calc Base'!$D$32*'Calc Base'!$D$47*(1+$B25)^-'Calc Base'!$D$48+'Calc Base'!$E$32*'Calc Base'!$E$47*(1+$B25)^-'Calc Base'!$E$48+'Calc Base'!$F$32*'Calc Base'!$F$47*(1+$B25)^-'Calc Base'!$F$48+'Calc Base'!$G$32*'Calc Base'!$G$47*(1+$B25)^-'Calc Base'!$G$48)+D$21*'Calc Base'!$G$20*(1+$B25)^-'Calc Base'!$B$52-Inputs!$B$12)/Inputs!$B$11*Inputs!$B$14/Inputs!$B$15*(1+'Calc Base'!$B$35)^'Calc Base'!$B$62-Inputs!$B$13*'Calc Base'!$B$62</f>
        <v/>
      </c>
      <c r="E25" s="13">
        <f>(('Calc Base'!$C$32*'Calc Base'!$C$47*(1+$B25)^-'Calc Base'!$C$48+'Calc Base'!$D$32*'Calc Base'!$D$47*(1+$B25)^-'Calc Base'!$D$48+'Calc Base'!$E$32*'Calc Base'!$E$47*(1+$B25)^-'Calc Base'!$E$48+'Calc Base'!$F$32*'Calc Base'!$F$47*(1+$B25)^-'Calc Base'!$F$48+'Calc Base'!$G$32*'Calc Base'!$G$47*(1+$B25)^-'Calc Base'!$G$48)+E$21*'Calc Base'!$G$20*(1+$B25)^-'Calc Base'!$B$52-Inputs!$B$12)/Inputs!$B$11*Inputs!$B$14/Inputs!$B$15*(1+'Calc Base'!$B$35)^'Calc Base'!$B$62-Inputs!$B$13*'Calc Base'!$B$62</f>
        <v/>
      </c>
      <c r="F25" s="13">
        <f>(('Calc Base'!$C$32*'Calc Base'!$C$47*(1+$B25)^-'Calc Base'!$C$48+'Calc Base'!$D$32*'Calc Base'!$D$47*(1+$B25)^-'Calc Base'!$D$48+'Calc Base'!$E$32*'Calc Base'!$E$47*(1+$B25)^-'Calc Base'!$E$48+'Calc Base'!$F$32*'Calc Base'!$F$47*(1+$B25)^-'Calc Base'!$F$48+'Calc Base'!$G$32*'Calc Base'!$G$47*(1+$B25)^-'Calc Base'!$G$48)+F$21*'Calc Base'!$G$20*(1+$B25)^-'Calc Base'!$B$52-Inputs!$B$12)/Inputs!$B$11*Inputs!$B$14/Inputs!$B$15*(1+'Calc Base'!$B$35)^'Calc Base'!$B$62-Inputs!$B$13*'Calc Base'!$B$62</f>
        <v/>
      </c>
      <c r="G25" s="13">
        <f>(('Calc Base'!$C$32*'Calc Base'!$C$47*(1+$B25)^-'Calc Base'!$C$48+'Calc Base'!$D$32*'Calc Base'!$D$47*(1+$B25)^-'Calc Base'!$D$48+'Calc Base'!$E$32*'Calc Base'!$E$47*(1+$B25)^-'Calc Base'!$E$48+'Calc Base'!$F$32*'Calc Base'!$F$47*(1+$B25)^-'Calc Base'!$F$48+'Calc Base'!$G$32*'Calc Base'!$G$47*(1+$B25)^-'Calc Base'!$G$48)+G$21*'Calc Base'!$G$20*(1+$B25)^-'Calc Base'!$B$52-Inputs!$B$12)/Inputs!$B$11*Inputs!$B$14/Inputs!$B$15*(1+'Calc Base'!$B$35)^'Calc Base'!$B$62-Inputs!$B$13*'Calc Base'!$B$62</f>
        <v/>
      </c>
    </row>
    <row r="26">
      <c r="A26" s="39" t="n">
        <v>0.01</v>
      </c>
      <c r="B26" s="40">
        <f>'Calc Base'!$B$38+A26</f>
        <v/>
      </c>
      <c r="C26" s="13">
        <f>(('Calc Base'!$C$32*'Calc Base'!$C$47*(1+$B26)^-'Calc Base'!$C$48+'Calc Base'!$D$32*'Calc Base'!$D$47*(1+$B26)^-'Calc Base'!$D$48+'Calc Base'!$E$32*'Calc Base'!$E$47*(1+$B26)^-'Calc Base'!$E$48+'Calc Base'!$F$32*'Calc Base'!$F$47*(1+$B26)^-'Calc Base'!$F$48+'Calc Base'!$G$32*'Calc Base'!$G$47*(1+$B26)^-'Calc Base'!$G$48)+C$21*'Calc Base'!$G$20*(1+$B26)^-'Calc Base'!$B$52-Inputs!$B$12)/Inputs!$B$11*Inputs!$B$14/Inputs!$B$15*(1+'Calc Base'!$B$35)^'Calc Base'!$B$62-Inputs!$B$13*'Calc Base'!$B$62</f>
        <v/>
      </c>
      <c r="D26" s="13">
        <f>(('Calc Base'!$C$32*'Calc Base'!$C$47*(1+$B26)^-'Calc Base'!$C$48+'Calc Base'!$D$32*'Calc Base'!$D$47*(1+$B26)^-'Calc Base'!$D$48+'Calc Base'!$E$32*'Calc Base'!$E$47*(1+$B26)^-'Calc Base'!$E$48+'Calc Base'!$F$32*'Calc Base'!$F$47*(1+$B26)^-'Calc Base'!$F$48+'Calc Base'!$G$32*'Calc Base'!$G$47*(1+$B26)^-'Calc Base'!$G$48)+D$21*'Calc Base'!$G$20*(1+$B26)^-'Calc Base'!$B$52-Inputs!$B$12)/Inputs!$B$11*Inputs!$B$14/Inputs!$B$15*(1+'Calc Base'!$B$35)^'Calc Base'!$B$62-Inputs!$B$13*'Calc Base'!$B$62</f>
        <v/>
      </c>
      <c r="E26" s="13">
        <f>(('Calc Base'!$C$32*'Calc Base'!$C$47*(1+$B26)^-'Calc Base'!$C$48+'Calc Base'!$D$32*'Calc Base'!$D$47*(1+$B26)^-'Calc Base'!$D$48+'Calc Base'!$E$32*'Calc Base'!$E$47*(1+$B26)^-'Calc Base'!$E$48+'Calc Base'!$F$32*'Calc Base'!$F$47*(1+$B26)^-'Calc Base'!$F$48+'Calc Base'!$G$32*'Calc Base'!$G$47*(1+$B26)^-'Calc Base'!$G$48)+E$21*'Calc Base'!$G$20*(1+$B26)^-'Calc Base'!$B$52-Inputs!$B$12)/Inputs!$B$11*Inputs!$B$14/Inputs!$B$15*(1+'Calc Base'!$B$35)^'Calc Base'!$B$62-Inputs!$B$13*'Calc Base'!$B$62</f>
        <v/>
      </c>
      <c r="F26" s="13">
        <f>(('Calc Base'!$C$32*'Calc Base'!$C$47*(1+$B26)^-'Calc Base'!$C$48+'Calc Base'!$D$32*'Calc Base'!$D$47*(1+$B26)^-'Calc Base'!$D$48+'Calc Base'!$E$32*'Calc Base'!$E$47*(1+$B26)^-'Calc Base'!$E$48+'Calc Base'!$F$32*'Calc Base'!$F$47*(1+$B26)^-'Calc Base'!$F$48+'Calc Base'!$G$32*'Calc Base'!$G$47*(1+$B26)^-'Calc Base'!$G$48)+F$21*'Calc Base'!$G$20*(1+$B26)^-'Calc Base'!$B$52-Inputs!$B$12)/Inputs!$B$11*Inputs!$B$14/Inputs!$B$15*(1+'Calc Base'!$B$35)^'Calc Base'!$B$62-Inputs!$B$13*'Calc Base'!$B$62</f>
        <v/>
      </c>
      <c r="G26" s="13">
        <f>(('Calc Base'!$C$32*'Calc Base'!$C$47*(1+$B26)^-'Calc Base'!$C$48+'Calc Base'!$D$32*'Calc Base'!$D$47*(1+$B26)^-'Calc Base'!$D$48+'Calc Base'!$E$32*'Calc Base'!$E$47*(1+$B26)^-'Calc Base'!$E$48+'Calc Base'!$F$32*'Calc Base'!$F$47*(1+$B26)^-'Calc Base'!$F$48+'Calc Base'!$G$32*'Calc Base'!$G$47*(1+$B26)^-'Calc Base'!$G$48)+G$21*'Calc Base'!$G$20*(1+$B26)^-'Calc Base'!$B$52-Inputs!$B$12)/Inputs!$B$11*Inputs!$B$14/Inputs!$B$15*(1+'Calc Base'!$B$35)^'Calc Base'!$B$62-Inputs!$B$13*'Calc Base'!$B$62</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8" customWidth="1" min="1" max="1"/>
    <col width="16" customWidth="1" min="2" max="2"/>
    <col width="14" customWidth="1" min="3" max="3"/>
    <col width="14" customWidth="1" min="4" max="4"/>
    <col width="14" customWidth="1" min="5" max="5"/>
    <col width="14" customWidth="1" min="6" max="6"/>
    <col width="14" customWidth="1" min="7" max="7"/>
    <col width="90" customWidth="1" min="8" max="8"/>
  </cols>
  <sheetData>
    <row r="1">
      <c r="A1" s="1" t="inlineStr">
        <is>
          <t>MU valuation inputs</t>
        </is>
      </c>
    </row>
    <row r="2">
      <c r="A2" t="inlineStr">
        <is>
          <t>Blue = input (edit these). Every calculation references this tab.</t>
        </is>
      </c>
    </row>
    <row r="3">
      <c r="H3" s="2" t="inlineStr">
        <is>
          <t>Notes (reasons carried over from assumptions.yaml)</t>
        </is>
      </c>
    </row>
    <row r="5">
      <c r="A5" s="14" t="inlineStr">
        <is>
          <t>General</t>
        </is>
      </c>
      <c r="B5" s="15" t="n"/>
      <c r="C5" s="15" t="n"/>
      <c r="D5" s="15" t="n"/>
      <c r="E5" s="15" t="n"/>
      <c r="F5" s="15" t="n"/>
      <c r="G5" s="15" t="n"/>
      <c r="H5" s="15" t="n"/>
    </row>
    <row r="6">
      <c r="A6" s="6" t="inlineStr">
        <is>
          <t>Share price</t>
        </is>
      </c>
      <c r="B6" s="16" t="n">
        <v>1062.29</v>
      </c>
      <c r="H6" t="inlineStr">
        <is>
          <t>USD, Yahoo [S5]</t>
        </is>
      </c>
    </row>
    <row r="7">
      <c r="A7" s="6" t="inlineStr">
        <is>
          <t>Price date (as of)</t>
        </is>
      </c>
      <c r="B7" s="41" t="n">
        <v>46300</v>
      </c>
      <c r="H7" t="inlineStr">
        <is>
          <t>price date (previous close) [S5]</t>
        </is>
      </c>
    </row>
    <row r="8">
      <c r="A8" s="6" t="inlineStr">
        <is>
          <t>Horizon (months)</t>
        </is>
      </c>
      <c r="B8" s="18" t="n">
        <v>15</v>
      </c>
      <c r="H8" t="inlineStr">
        <is>
          <t>12-18 month horizon</t>
        </is>
      </c>
    </row>
    <row r="9">
      <c r="A9" s="6" t="inlineStr">
        <is>
          <t>Months per year</t>
        </is>
      </c>
      <c r="B9" s="18" t="n">
        <v>12</v>
      </c>
    </row>
    <row r="10">
      <c r="A10" s="6" t="inlineStr">
        <is>
          <t>Days per year (for date fractions)</t>
        </is>
      </c>
      <c r="B10" s="9" t="n">
        <v>365.25</v>
      </c>
    </row>
    <row r="11">
      <c r="A11" s="6" t="inlineStr">
        <is>
          <t>Diluted shares</t>
        </is>
      </c>
      <c r="B11" s="42" t="n">
        <v>1147000000</v>
      </c>
      <c r="H11" t="inlineStr">
        <is>
          <t>why: FQ4-26 diluted weighted shares, 1,147 mn [S4]</t>
        </is>
      </c>
    </row>
    <row r="12">
      <c r="A12" s="6" t="inlineStr">
        <is>
          <t>Net debt</t>
        </is>
      </c>
      <c r="B12" s="43" t="n">
        <v>-68274000000</v>
      </c>
      <c r="H12" t="inlineStr">
        <is>
          <t>why: total debt $5.179 bn (current $0.491 bn + long-term $4.688 bn) less cash $38.364 bn, short-term investments $5.070 bn and long-term marketable investments $30.019 bn = net cash $68.274 bn at 2026-09-03; restricted cash excluded [S4]</t>
        </is>
      </c>
    </row>
    <row r="13">
      <c r="A13" s="6" t="inlineStr">
        <is>
          <t>Dividend per share (annual)</t>
        </is>
      </c>
      <c r="B13" s="16" t="n">
        <v>0.6</v>
      </c>
      <c r="H13" t="inlineStr">
        <is>
          <t>why: $0.15 per quarter declared 2026-09-30 [S4]</t>
        </is>
      </c>
    </row>
    <row r="14">
      <c r="A14" s="6" t="inlineStr">
        <is>
          <t>Ordinary shares per traded unit</t>
        </is>
      </c>
      <c r="B14" s="9" t="n">
        <v>1</v>
      </c>
    </row>
    <row r="15">
      <c r="A15" s="6" t="inlineStr">
        <is>
          <t>Local currency per trading currency</t>
        </is>
      </c>
      <c r="B15" s="44" t="n">
        <v>1</v>
      </c>
    </row>
    <row r="17">
      <c r="A17" s="14" t="inlineStr">
        <is>
          <t>Timing</t>
        </is>
      </c>
      <c r="B17" s="15" t="n"/>
      <c r="C17" s="15" t="n"/>
      <c r="D17" s="15" t="n"/>
      <c r="E17" s="15" t="n"/>
      <c r="F17" s="15" t="n"/>
      <c r="G17" s="15" t="n"/>
      <c r="H17" s="15" t="n"/>
    </row>
    <row r="18">
      <c r="A18" s="2" t="inlineStr">
        <is>
          <t>Fiscal year</t>
        </is>
      </c>
      <c r="B18" s="3" t="inlineStr">
        <is>
          <t>FY2026A</t>
        </is>
      </c>
      <c r="C18" s="22" t="n">
        <v>2027</v>
      </c>
      <c r="D18" s="22" t="n">
        <v>2028</v>
      </c>
      <c r="E18" s="22" t="n">
        <v>2029</v>
      </c>
      <c r="F18" s="22" t="n">
        <v>2030</v>
      </c>
      <c r="G18" s="22" t="n">
        <v>2031</v>
      </c>
    </row>
    <row r="19">
      <c r="A19" s="6" t="inlineStr">
        <is>
          <t>Fiscal year end</t>
        </is>
      </c>
      <c r="C19" s="41" t="n">
        <v>46633</v>
      </c>
      <c r="D19" s="41" t="n">
        <v>46999</v>
      </c>
      <c r="E19" s="41" t="n">
        <v>47364</v>
      </c>
      <c r="F19" s="41" t="n">
        <v>47729</v>
      </c>
      <c r="G19" s="41" t="n">
        <v>48094</v>
      </c>
    </row>
    <row r="21">
      <c r="A21" s="14" t="inlineStr">
        <is>
          <t>Revenue</t>
        </is>
      </c>
      <c r="B21" s="15" t="n"/>
      <c r="C21" s="15" t="n"/>
      <c r="D21" s="15" t="n"/>
      <c r="E21" s="15" t="n"/>
      <c r="F21" s="15" t="n"/>
      <c r="G21" s="15" t="n"/>
      <c r="H21" s="15" t="n"/>
    </row>
    <row r="22">
      <c r="A22" s="2" t="inlineStr">
        <is>
          <t>Growth by segment (base in column B)</t>
        </is>
      </c>
      <c r="B22" s="3" t="inlineStr">
        <is>
          <t>FY2026A</t>
        </is>
      </c>
      <c r="C22" s="22" t="n">
        <v>2027</v>
      </c>
      <c r="D22" s="22" t="n">
        <v>2028</v>
      </c>
      <c r="E22" s="22" t="n">
        <v>2029</v>
      </c>
      <c r="F22" s="22" t="n">
        <v>2030</v>
      </c>
      <c r="G22" s="22" t="n">
        <v>2031</v>
      </c>
    </row>
    <row r="23">
      <c r="A23" s="6" t="inlineStr">
        <is>
          <t>Total</t>
        </is>
      </c>
      <c r="B23" s="43" t="n">
        <v>133188000000</v>
      </c>
      <c r="C23" s="39" t="n">
        <v>1.0642</v>
      </c>
      <c r="D23" s="39" t="n">
        <v>0.1427</v>
      </c>
      <c r="E23" s="39" t="n">
        <v>0.03</v>
      </c>
      <c r="F23" s="39" t="n">
        <v>0.03</v>
      </c>
      <c r="G23" s="39" t="n">
        <v>0.03</v>
      </c>
    </row>
    <row r="25">
      <c r="A25" s="14" t="inlineStr">
        <is>
          <t>Margins and cash flow</t>
        </is>
      </c>
      <c r="B25" s="15" t="n"/>
      <c r="C25" s="15" t="n"/>
      <c r="D25" s="15" t="n"/>
      <c r="E25" s="15" t="n"/>
      <c r="F25" s="15" t="n"/>
      <c r="G25" s="15" t="n"/>
      <c r="H25" s="15" t="n"/>
    </row>
    <row r="26">
      <c r="A26" s="2" t="inlineStr">
        <is>
          <t>Fiscal year</t>
        </is>
      </c>
      <c r="B26" s="3" t="inlineStr">
        <is>
          <t>FY2026A</t>
        </is>
      </c>
      <c r="C26" s="22" t="n">
        <v>2027</v>
      </c>
      <c r="D26" s="22" t="n">
        <v>2028</v>
      </c>
      <c r="E26" s="22" t="n">
        <v>2029</v>
      </c>
      <c r="F26" s="22" t="n">
        <v>2030</v>
      </c>
      <c r="G26" s="22" t="n">
        <v>2031</v>
      </c>
    </row>
    <row r="27">
      <c r="A27" s="6" t="inlineStr">
        <is>
          <t>EBITDA margin</t>
        </is>
      </c>
      <c r="C27" s="39" t="n">
        <v>0.83</v>
      </c>
      <c r="D27" s="39" t="n">
        <v>0.76</v>
      </c>
      <c r="E27" s="39" t="n">
        <v>0.68</v>
      </c>
      <c r="F27" s="39" t="n">
        <v>0.66</v>
      </c>
      <c r="G27" s="39" t="n">
        <v>0.65</v>
      </c>
    </row>
    <row r="28">
      <c r="A28" s="6" t="inlineStr">
        <is>
          <t>CapEx % revenue</t>
        </is>
      </c>
      <c r="C28" s="39" t="n">
        <v>0.137</v>
      </c>
      <c r="D28" s="39" t="n">
        <v>0.167</v>
      </c>
      <c r="E28" s="39" t="n">
        <v>0.156</v>
      </c>
      <c r="F28" s="39" t="n">
        <v>0.13</v>
      </c>
      <c r="G28" s="39" t="n">
        <v>0.125</v>
      </c>
    </row>
    <row r="29">
      <c r="A29" s="6" t="inlineStr">
        <is>
          <t>Tax rate</t>
        </is>
      </c>
      <c r="C29" s="39" t="n">
        <v>0.15</v>
      </c>
      <c r="D29" s="39" t="n">
        <v>0.15</v>
      </c>
      <c r="E29" s="39" t="n">
        <v>0.15</v>
      </c>
      <c r="F29" s="39" t="n">
        <v>0.15</v>
      </c>
      <c r="G29" s="39" t="n">
        <v>0.15</v>
      </c>
      <c r="H29" t="inlineStr">
        <is>
          <t>why: FY26 provision $14.76 bn on pre-tax income $99.67 bn is 14.8% [S4]</t>
        </is>
      </c>
    </row>
    <row r="30">
      <c r="A30" s="6" t="inlineStr">
        <is>
          <t>Other income % revenue</t>
        </is>
      </c>
      <c r="C30" s="39" t="n">
        <v>0.002</v>
      </c>
      <c r="D30" s="39" t="n">
        <v>0.002</v>
      </c>
      <c r="E30" s="39" t="n">
        <v>0.002</v>
      </c>
      <c r="F30" s="39" t="n">
        <v>0.002</v>
      </c>
      <c r="G30" s="39" t="n">
        <v>0.002</v>
      </c>
      <c r="H30" t="inlineStr">
        <is>
          <t>why: FY26 interest income $1.08 bn less interest expense $0.11 bn and other $(0.65) bn is +$0.33 bn, 0.2% of revenue [S4]</t>
        </is>
      </c>
    </row>
    <row r="31">
      <c r="A31" s="6" t="inlineStr">
        <is>
          <t>Share count change</t>
        </is>
      </c>
      <c r="C31" s="39" t="n">
        <v>0.002</v>
      </c>
      <c r="D31" s="39" t="n">
        <v>0.002</v>
      </c>
      <c r="E31" s="39" t="n">
        <v>0.002</v>
      </c>
      <c r="F31" s="39" t="n">
        <v>0.002</v>
      </c>
      <c r="G31" s="39" t="n">
        <v>0.002</v>
      </c>
      <c r="H31" t="inlineStr">
        <is>
          <t>why: diluted shares 1,125 mn (FY25) to 1,143 mn (FY26) is +1.6%, but buybacks and withholdings offset; hold close to flat [S4]</t>
        </is>
      </c>
    </row>
    <row r="32">
      <c r="A32" s="6" t="inlineStr">
        <is>
          <t>Change in NWC per $ of revenue growth</t>
        </is>
      </c>
      <c r="C32" s="39" t="n">
        <v>0.12</v>
      </c>
      <c r="D32" s="39" t="n">
        <v>0.12</v>
      </c>
      <c r="E32" s="39" t="n">
        <v>0.12</v>
      </c>
      <c r="F32" s="39" t="n">
        <v>0.12</v>
      </c>
      <c r="G32" s="39" t="n">
        <v>0.12</v>
      </c>
      <c r="H32" t="inlineStr">
        <is>
          <t>why: FY26 working capital absorbed about $15.4 bn (receivables $(25.2) bn, inventories $(2.0) bn, payables +$8.7 bn, other current +$3.1 bn) on $95.8 bn of added revenue = 16%; customer deposits offset part of it, so 12% [S4]</t>
        </is>
      </c>
    </row>
    <row r="33">
      <c r="A33" s="6" t="inlineStr">
        <is>
          <t>Net PP&amp;E (base year)</t>
        </is>
      </c>
      <c r="B33" s="43" t="n">
        <v>63310000000</v>
      </c>
      <c r="H33" t="inlineStr">
        <is>
          <t>why: net PP&amp;E $63.31 bn at 2026-09-03; life 6.5 years implied by FY26 D&amp;A of $9.50 bn on opening PP&amp;E plus half of capex [S4]</t>
        </is>
      </c>
    </row>
    <row r="34">
      <c r="A34" s="6" t="inlineStr">
        <is>
          <t>Useful life (years)</t>
        </is>
      </c>
      <c r="B34" s="9" t="n">
        <v>6.5</v>
      </c>
    </row>
    <row r="36">
      <c r="A36" s="14" t="inlineStr">
        <is>
          <t>Cost of capital (CAPM)</t>
        </is>
      </c>
      <c r="B36" s="15" t="n"/>
      <c r="C36" s="15" t="n"/>
      <c r="D36" s="15" t="n"/>
      <c r="E36" s="15" t="n"/>
      <c r="F36" s="15" t="n"/>
      <c r="G36" s="15" t="n"/>
      <c r="H36" s="15" t="n"/>
    </row>
    <row r="37">
      <c r="A37" s="6" t="inlineStr">
        <is>
          <t>Risk-free rate</t>
        </is>
      </c>
      <c r="B37" s="39" t="n">
        <v>0.0531</v>
      </c>
      <c r="H37" t="inlineStr">
        <is>
          <t>10Y UST yield (^TNX), 2026-10-05 [S5]</t>
        </is>
      </c>
    </row>
    <row r="38">
      <c r="A38" s="6" t="inlineStr">
        <is>
          <t>Beta</t>
        </is>
      </c>
      <c r="B38" s="9" t="n">
        <v>2.23</v>
      </c>
      <c r="H38" t="inlineStr">
        <is>
          <t>Yahoo 5Y monthly beta; high because of the FY23 drawdown [S1][S5]</t>
        </is>
      </c>
    </row>
    <row r="39">
      <c r="A39" s="6" t="inlineStr">
        <is>
          <t>Equity risk premium</t>
        </is>
      </c>
      <c r="B39" s="39" t="n">
        <v>0.045</v>
      </c>
      <c r="H39" t="inlineStr">
        <is>
          <t>confirmed by Stott 2026-10-05</t>
        </is>
      </c>
    </row>
    <row r="40">
      <c r="A40" s="6" t="inlineStr">
        <is>
          <t>Pre-tax cost of debt</t>
        </is>
      </c>
      <c r="B40" s="39" t="n">
        <v>0.0834</v>
      </c>
      <c r="H40" t="inlineStr">
        <is>
          <t>draft default, bounded rf to rf+5%; debt is 0.4% of capital so the effect is nil</t>
        </is>
      </c>
    </row>
    <row r="41">
      <c r="A41" s="6" t="inlineStr">
        <is>
          <t>Tax rate for the debt shield</t>
        </is>
      </c>
      <c r="B41" s="39" t="n">
        <v>0.21</v>
      </c>
    </row>
    <row r="42">
      <c r="A42" s="6" t="inlineStr">
        <is>
          <t>Equity value (market cap)</t>
        </is>
      </c>
      <c r="B42" s="43" t="n">
        <v>1199584968704</v>
      </c>
      <c r="H42" t="inlineStr">
        <is>
          <t>market cap (USD) [S5]</t>
        </is>
      </c>
    </row>
    <row r="43">
      <c r="A43" s="6" t="inlineStr">
        <is>
          <t>Debt value</t>
        </is>
      </c>
      <c r="B43" s="43" t="n">
        <v>5179000000</v>
      </c>
      <c r="H43" t="inlineStr">
        <is>
          <t>why: total debt at 2026-09-03 [S4]</t>
        </is>
      </c>
    </row>
    <row r="45">
      <c r="A45" s="14" t="inlineStr">
        <is>
          <t>Terminal value</t>
        </is>
      </c>
      <c r="B45" s="15" t="n"/>
      <c r="C45" s="15" t="n"/>
      <c r="D45" s="15" t="n"/>
      <c r="E45" s="15" t="n"/>
      <c r="F45" s="15" t="n"/>
      <c r="G45" s="15" t="n"/>
      <c r="H45" s="15" t="n"/>
    </row>
    <row r="46">
      <c r="A46" s="6" t="inlineStr">
        <is>
          <t>Exit EV/EBITDA</t>
        </is>
      </c>
      <c r="B46" s="45" t="n">
        <v>6</v>
      </c>
    </row>
    <row r="47">
      <c r="A47" s="6" t="inlineStr">
        <is>
          <t>Perpetual growth</t>
        </is>
      </c>
      <c r="B47" s="39" t="n">
        <v>0.03</v>
      </c>
      <c r="H47" t="inlineStr">
        <is>
          <t>cross-check only</t>
        </is>
      </c>
    </row>
    <row r="48">
      <c r="A48" s="6" t="inlineStr">
        <is>
          <t>Terminal method</t>
        </is>
      </c>
      <c r="B48" s="24" t="inlineStr">
        <is>
          <t>exit_multiple</t>
        </is>
      </c>
    </row>
    <row r="50">
      <c r="A50" s="14" t="inlineStr">
        <is>
          <t>Target multiples (applied to NTM metrics at the target date)</t>
        </is>
      </c>
      <c r="B50" s="15" t="n"/>
      <c r="C50" s="15" t="n"/>
      <c r="D50" s="15" t="n"/>
      <c r="E50" s="15" t="n"/>
      <c r="F50" s="15" t="n"/>
      <c r="G50" s="15" t="n"/>
      <c r="H50" s="15" t="n"/>
    </row>
    <row r="51">
      <c r="A51" s="6" t="inlineStr">
        <is>
          <t>Forward P/E</t>
        </is>
      </c>
      <c r="B51" s="45" t="n">
        <v>7</v>
      </c>
      <c r="H51" t="inlineStr">
        <is>
          <t>why: current NTM P/E is 5.9x [S1]. Take-or-pay contracts [S3] justify a modest re-rating, to 7.0x, still below the FY22 peak-year LTM median of 9.4x and far below the 3-year LTM median of 26.4x struck on trough earnings [S1]</t>
        </is>
      </c>
    </row>
    <row r="52">
      <c r="A52" s="6" t="inlineStr">
        <is>
          <t>EV / EBITDA</t>
        </is>
      </c>
      <c r="B52" s="45" t="n">
        <v>6</v>
      </c>
      <c r="H52" t="inlineStr">
        <is>
          <t>why: current EV / NTM EBITDA is about 5.3x on our base (EV $1.13 tn / FY27 EBITDA); 6.0x allows a small re-rating on contract visibility [S1][S3]</t>
        </is>
      </c>
    </row>
    <row r="54">
      <c r="A54" s="14" t="inlineStr">
        <is>
          <t>Method weights (normalised over the methods that apply)</t>
        </is>
      </c>
      <c r="B54" s="15" t="n"/>
      <c r="C54" s="15" t="n"/>
      <c r="D54" s="15" t="n"/>
      <c r="E54" s="15" t="n"/>
      <c r="F54" s="15" t="n"/>
      <c r="G54" s="15" t="n"/>
      <c r="H54" s="15" t="n"/>
    </row>
    <row r="55">
      <c r="A55" s="6" t="inlineStr">
        <is>
          <t>Weight: dcf</t>
        </is>
      </c>
      <c r="B55" s="39" t="n">
        <v>0.5</v>
      </c>
    </row>
    <row r="56">
      <c r="A56" s="6" t="inlineStr">
        <is>
          <t>Weight: pe</t>
        </is>
      </c>
      <c r="B56" s="39" t="n">
        <v>0.25</v>
      </c>
    </row>
    <row r="57">
      <c r="A57" s="6" t="inlineStr">
        <is>
          <t>Weight: ev_ebitda</t>
        </is>
      </c>
      <c r="B57" s="39" t="n">
        <v>0.25</v>
      </c>
    </row>
    <row r="58">
      <c r="A58" s="6" t="inlineStr">
        <is>
          <t>Weight: metric</t>
        </is>
      </c>
      <c r="B58" s="39" t="n">
        <v>0</v>
      </c>
    </row>
    <row r="60">
      <c r="A60" s="14" t="inlineStr">
        <is>
          <t>Scenarios (deltas vs base)</t>
        </is>
      </c>
      <c r="B60" s="15" t="n"/>
      <c r="C60" s="15" t="n"/>
      <c r="D60" s="15" t="n"/>
      <c r="E60" s="15" t="n"/>
      <c r="F60" s="15" t="n"/>
      <c r="G60" s="15" t="n"/>
      <c r="H60" s="15" t="n"/>
    </row>
    <row r="61">
      <c r="A61" s="2" t="inlineStr">
        <is>
          <t>Scenario</t>
        </is>
      </c>
      <c r="B61" s="2" t="inlineStr">
        <is>
          <t>Growth delta</t>
        </is>
      </c>
      <c r="C61" s="2" t="inlineStr">
        <is>
          <t>Margin delta (by final year)</t>
        </is>
      </c>
      <c r="D61" s="2" t="inlineStr">
        <is>
          <t>Multiple delta</t>
        </is>
      </c>
      <c r="E61" s="2" t="inlineStr">
        <is>
          <t>WACC delta</t>
        </is>
      </c>
    </row>
    <row r="62">
      <c r="A62" t="inlineStr">
        <is>
          <t>Base</t>
        </is>
      </c>
      <c r="B62" s="39" t="n">
        <v>0</v>
      </c>
      <c r="C62" s="39" t="n">
        <v>0</v>
      </c>
      <c r="D62" s="39" t="n">
        <v>0</v>
      </c>
      <c r="E62" s="39" t="n">
        <v>0</v>
      </c>
    </row>
    <row r="63">
      <c r="A63" t="inlineStr">
        <is>
          <t>Bull</t>
        </is>
      </c>
      <c r="B63" s="39" t="n">
        <v>0</v>
      </c>
      <c r="C63" s="39" t="n">
        <v>0.05</v>
      </c>
      <c r="D63" s="39" t="n">
        <v>0.15</v>
      </c>
      <c r="E63" s="39" t="n">
        <v>-0.005</v>
      </c>
    </row>
    <row r="64">
      <c r="A64" s="6" t="inlineStr">
        <is>
          <t>Bull growth path (replaces growth)</t>
        </is>
      </c>
      <c r="C64" s="39" t="n">
        <v>1.2524</v>
      </c>
      <c r="D64" s="39" t="n">
        <v>0.1</v>
      </c>
      <c r="E64" s="39" t="n">
        <v>0.0303</v>
      </c>
      <c r="F64" s="39" t="n">
        <v>0.0294</v>
      </c>
      <c r="G64" s="39" t="n">
        <v>0.0429</v>
      </c>
    </row>
    <row r="65">
      <c r="A65" t="inlineStr">
        <is>
          <t>Bear</t>
        </is>
      </c>
      <c r="B65" s="39" t="n">
        <v>0</v>
      </c>
      <c r="C65" s="39" t="n">
        <v>-0.25</v>
      </c>
      <c r="D65" s="39" t="n">
        <v>-0.3</v>
      </c>
      <c r="E65" s="39" t="n">
        <v>0.005</v>
      </c>
    </row>
    <row r="66">
      <c r="A66" s="6" t="inlineStr">
        <is>
          <t>Bear growth path (replaces growth)</t>
        </is>
      </c>
      <c r="C66" s="39" t="n">
        <v>0.3515</v>
      </c>
      <c r="D66" s="39" t="n">
        <v>-0.3889</v>
      </c>
      <c r="E66" s="39" t="n">
        <v>-0.09089999999999999</v>
      </c>
      <c r="F66" s="39" t="n">
        <v>0.15</v>
      </c>
      <c r="G66" s="39" t="n">
        <v>0.1304</v>
      </c>
    </row>
    <row r="68">
      <c r="A68" s="14" t="inlineStr">
        <is>
          <t>Rating benchmark</t>
        </is>
      </c>
      <c r="B68" s="15" t="n"/>
      <c r="C68" s="15" t="n"/>
      <c r="D68" s="15" t="n"/>
      <c r="E68" s="15" t="n"/>
      <c r="F68" s="15" t="n"/>
      <c r="G68" s="15" t="n"/>
      <c r="H68" s="15" t="n"/>
    </row>
    <row r="69">
      <c r="A69" s="6" t="inlineStr">
        <is>
          <t>S&amp;P 500 expected annual return</t>
        </is>
      </c>
      <c r="B69" s="39" t="n">
        <v>0.08</v>
      </c>
      <c r="H69" t="inlineStr">
        <is>
          <t>confirmed by Stott 2026-10-05</t>
        </is>
      </c>
    </row>
    <row r="70">
      <c r="A70" s="6" t="inlineStr">
        <is>
          <t>Outperform / Underperform band</t>
        </is>
      </c>
      <c r="B70" s="39" t="n">
        <v>0.05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8" customWidth="1" min="1" max="1"/>
    <col width="16" customWidth="1" min="2" max="2"/>
    <col width="14" customWidth="1" min="3" max="3"/>
    <col width="14" customWidth="1" min="4" max="4"/>
    <col width="14" customWidth="1" min="5" max="5"/>
    <col width="14" customWidth="1" min="6" max="6"/>
    <col width="14" customWidth="1" min="7" max="7"/>
    <col width="90" customWidth="1" min="8" max="8"/>
  </cols>
  <sheetData>
    <row r="1">
      <c r="A1" s="1" t="inlineStr">
        <is>
          <t>MU base case: calculations</t>
        </is>
      </c>
    </row>
    <row r="2">
      <c r="A2" t="inlineStr">
        <is>
          <t>All formulas. Inputs live on the Inputs tab.</t>
        </is>
      </c>
    </row>
    <row r="5">
      <c r="A5" s="14" t="inlineStr">
        <is>
          <t>Scenario</t>
        </is>
      </c>
      <c r="B5" s="15" t="n"/>
      <c r="C5" s="15" t="n"/>
      <c r="D5" s="15" t="n"/>
      <c r="E5" s="15" t="n"/>
      <c r="F5" s="15" t="n"/>
      <c r="G5" s="15" t="n"/>
      <c r="H5" s="15" t="n"/>
    </row>
    <row r="6">
      <c r="A6" s="6" t="inlineStr">
        <is>
          <t>Growth delta</t>
        </is>
      </c>
      <c r="B6" s="37">
        <f>Inputs!$B$62</f>
        <v/>
      </c>
    </row>
    <row r="7">
      <c r="A7" s="6" t="inlineStr">
        <is>
          <t>Margin delta (by final year)</t>
        </is>
      </c>
      <c r="B7" s="37">
        <f>Inputs!$C$62</f>
        <v/>
      </c>
    </row>
    <row r="8">
      <c r="A8" s="6" t="inlineStr">
        <is>
          <t>Multiple factor</t>
        </is>
      </c>
      <c r="B8" s="46">
        <f>1+Inputs!$D$62</f>
        <v/>
      </c>
    </row>
    <row r="9">
      <c r="A9" s="6" t="inlineStr">
        <is>
          <t>WACC delta</t>
        </is>
      </c>
      <c r="B9" s="37">
        <f>Inputs!$E$62</f>
        <v/>
      </c>
    </row>
    <row r="11">
      <c r="A11" s="14" t="inlineStr">
        <is>
          <t>Projections</t>
        </is>
      </c>
      <c r="B11" s="15" t="n"/>
      <c r="C11" s="15" t="n"/>
      <c r="D11" s="15" t="n"/>
      <c r="E11" s="15" t="n"/>
      <c r="F11" s="15" t="n"/>
      <c r="G11" s="15" t="n"/>
      <c r="H11" s="15" t="n"/>
    </row>
    <row r="12">
      <c r="A12" s="2" t="inlineStr">
        <is>
          <t>Fiscal year</t>
        </is>
      </c>
      <c r="B12" s="3" t="inlineStr">
        <is>
          <t>FY2026A</t>
        </is>
      </c>
      <c r="C12" s="22" t="n">
        <v>2027</v>
      </c>
      <c r="D12" s="22" t="n">
        <v>2028</v>
      </c>
      <c r="E12" s="22" t="n">
        <v>2029</v>
      </c>
      <c r="F12" s="22" t="n">
        <v>2030</v>
      </c>
      <c r="G12" s="22" t="n">
        <v>2031</v>
      </c>
    </row>
    <row r="13">
      <c r="A13" s="6" t="inlineStr">
        <is>
          <t>Projection year</t>
        </is>
      </c>
      <c r="C13" s="26">
        <f>1</f>
        <v/>
      </c>
      <c r="D13" s="26">
        <f>C13+1</f>
        <v/>
      </c>
      <c r="E13" s="26">
        <f>D13+1</f>
        <v/>
      </c>
      <c r="F13" s="26">
        <f>E13+1</f>
        <v/>
      </c>
      <c r="G13" s="26">
        <f>F13+1</f>
        <v/>
      </c>
    </row>
    <row r="14">
      <c r="A14" s="6" t="inlineStr">
        <is>
          <t>Total: growth</t>
        </is>
      </c>
      <c r="C14" s="37">
        <f>Inputs!$C$23+'Calc Base'!$B$6</f>
        <v/>
      </c>
      <c r="D14" s="37">
        <f>Inputs!$D$23+'Calc Base'!$B$6</f>
        <v/>
      </c>
      <c r="E14" s="37">
        <f>Inputs!$E$23+'Calc Base'!$B$6</f>
        <v/>
      </c>
      <c r="F14" s="37">
        <f>Inputs!$F$23+'Calc Base'!$B$6</f>
        <v/>
      </c>
      <c r="G14" s="37">
        <f>Inputs!$G$23+'Calc Base'!$B$6</f>
        <v/>
      </c>
    </row>
    <row r="15">
      <c r="A15" s="6" t="inlineStr">
        <is>
          <t>Total: revenue</t>
        </is>
      </c>
      <c r="B15" s="47">
        <f>Inputs!$B$23</f>
        <v/>
      </c>
      <c r="C15" s="48">
        <f>B15*(1+C14)</f>
        <v/>
      </c>
      <c r="D15" s="48">
        <f>C15*(1+D14)</f>
        <v/>
      </c>
      <c r="E15" s="48">
        <f>D15*(1+E14)</f>
        <v/>
      </c>
      <c r="F15" s="48">
        <f>E15*(1+F14)</f>
        <v/>
      </c>
      <c r="G15" s="48">
        <f>F15*(1+G14)</f>
        <v/>
      </c>
    </row>
    <row r="16">
      <c r="A16" s="2" t="inlineStr">
        <is>
          <t>Revenue</t>
        </is>
      </c>
      <c r="B16" s="48">
        <f>B15</f>
        <v/>
      </c>
      <c r="C16" s="49">
        <f>C15</f>
        <v/>
      </c>
      <c r="D16" s="49">
        <f>D15</f>
        <v/>
      </c>
      <c r="E16" s="49">
        <f>E15</f>
        <v/>
      </c>
      <c r="F16" s="49">
        <f>F15</f>
        <v/>
      </c>
      <c r="G16" s="49">
        <f>G15</f>
        <v/>
      </c>
    </row>
    <row r="17">
      <c r="A17" s="6" t="inlineStr">
        <is>
          <t>Revenue growth</t>
        </is>
      </c>
      <c r="C17" s="37">
        <f>C16/B16-1</f>
        <v/>
      </c>
      <c r="D17" s="37">
        <f>D16/C16-1</f>
        <v/>
      </c>
      <c r="E17" s="37">
        <f>E16/D16-1</f>
        <v/>
      </c>
      <c r="F17" s="37">
        <f>F16/E16-1</f>
        <v/>
      </c>
      <c r="G17" s="37">
        <f>G16/F16-1</f>
        <v/>
      </c>
    </row>
    <row r="18">
      <c r="A18" s="6" t="inlineStr">
        <is>
          <t>Margin delta ramp</t>
        </is>
      </c>
      <c r="C18" s="37">
        <f>C13/$G$13</f>
        <v/>
      </c>
      <c r="D18" s="37">
        <f>D13/$G$13</f>
        <v/>
      </c>
      <c r="E18" s="37">
        <f>E13/$G$13</f>
        <v/>
      </c>
      <c r="F18" s="37">
        <f>F13/$G$13</f>
        <v/>
      </c>
      <c r="G18" s="37">
        <f>G13/$G$13</f>
        <v/>
      </c>
    </row>
    <row r="19">
      <c r="A19" s="6" t="inlineStr">
        <is>
          <t>EBITDA margin</t>
        </is>
      </c>
      <c r="C19" s="37">
        <f>Inputs!$C$27+'Calc Base'!$B$7*C18</f>
        <v/>
      </c>
      <c r="D19" s="37">
        <f>Inputs!$D$27+'Calc Base'!$B$7*D18</f>
        <v/>
      </c>
      <c r="E19" s="37">
        <f>Inputs!$E$27+'Calc Base'!$B$7*E18</f>
        <v/>
      </c>
      <c r="F19" s="37">
        <f>Inputs!$F$27+'Calc Base'!$B$7*F18</f>
        <v/>
      </c>
      <c r="G19" s="37">
        <f>Inputs!$G$27+'Calc Base'!$B$7*G18</f>
        <v/>
      </c>
    </row>
    <row r="20">
      <c r="A20" s="6" t="inlineStr">
        <is>
          <t>EBITDA</t>
        </is>
      </c>
      <c r="C20" s="48">
        <f>C16*C19</f>
        <v/>
      </c>
      <c r="D20" s="48">
        <f>D16*D19</f>
        <v/>
      </c>
      <c r="E20" s="48">
        <f>E16*E19</f>
        <v/>
      </c>
      <c r="F20" s="48">
        <f>F16*F19</f>
        <v/>
      </c>
      <c r="G20" s="48">
        <f>G16*G19</f>
        <v/>
      </c>
    </row>
    <row r="21">
      <c r="A21" s="6" t="inlineStr">
        <is>
          <t>CapEx</t>
        </is>
      </c>
      <c r="C21" s="48">
        <f>C16*Inputs!$C$28</f>
        <v/>
      </c>
      <c r="D21" s="48">
        <f>D16*Inputs!$D$28</f>
        <v/>
      </c>
      <c r="E21" s="48">
        <f>E16*Inputs!$E$28</f>
        <v/>
      </c>
      <c r="F21" s="48">
        <f>F16*Inputs!$F$28</f>
        <v/>
      </c>
      <c r="G21" s="48">
        <f>G16*Inputs!$G$28</f>
        <v/>
      </c>
    </row>
    <row r="22">
      <c r="A22" s="6" t="inlineStr">
        <is>
          <t>Net PP&amp;E, opening</t>
        </is>
      </c>
      <c r="C22" s="47">
        <f>Inputs!$B$33</f>
        <v/>
      </c>
      <c r="D22" s="48">
        <f>C24</f>
        <v/>
      </c>
      <c r="E22" s="48">
        <f>D24</f>
        <v/>
      </c>
      <c r="F22" s="48">
        <f>E24</f>
        <v/>
      </c>
      <c r="G22" s="48">
        <f>F24</f>
        <v/>
      </c>
    </row>
    <row r="23">
      <c r="A23" s="6" t="inlineStr">
        <is>
          <t>D&amp;A (opening PP&amp;E + half of CapEx) / life</t>
        </is>
      </c>
      <c r="C23" s="48">
        <f>(C22+C21/2)/Inputs!$B$34</f>
        <v/>
      </c>
      <c r="D23" s="48">
        <f>(D22+D21/2)/Inputs!$B$34</f>
        <v/>
      </c>
      <c r="E23" s="48">
        <f>(E22+E21/2)/Inputs!$B$34</f>
        <v/>
      </c>
      <c r="F23" s="48">
        <f>(F22+F21/2)/Inputs!$B$34</f>
        <v/>
      </c>
      <c r="G23" s="48">
        <f>(G22+G21/2)/Inputs!$B$34</f>
        <v/>
      </c>
    </row>
    <row r="24">
      <c r="A24" s="6" t="inlineStr">
        <is>
          <t>Net PP&amp;E, closing</t>
        </is>
      </c>
      <c r="C24" s="48">
        <f>C22+C21-C23</f>
        <v/>
      </c>
      <c r="D24" s="48">
        <f>D22+D21-D23</f>
        <v/>
      </c>
      <c r="E24" s="48">
        <f>E22+E21-E23</f>
        <v/>
      </c>
      <c r="F24" s="48">
        <f>F22+F21-F23</f>
        <v/>
      </c>
      <c r="G24" s="48">
        <f>G22+G21-G23</f>
        <v/>
      </c>
    </row>
    <row r="25">
      <c r="A25" s="6" t="inlineStr">
        <is>
          <t>EBIT</t>
        </is>
      </c>
      <c r="C25" s="48">
        <f>C20-C23</f>
        <v/>
      </c>
      <c r="D25" s="48">
        <f>D20-D23</f>
        <v/>
      </c>
      <c r="E25" s="48">
        <f>E20-E23</f>
        <v/>
      </c>
      <c r="F25" s="48">
        <f>F20-F23</f>
        <v/>
      </c>
      <c r="G25" s="48">
        <f>G20-G23</f>
        <v/>
      </c>
    </row>
    <row r="26">
      <c r="A26" s="6" t="inlineStr">
        <is>
          <t>Other income</t>
        </is>
      </c>
      <c r="C26" s="48">
        <f>C16*Inputs!$C$30</f>
        <v/>
      </c>
      <c r="D26" s="48">
        <f>D16*Inputs!$D$30</f>
        <v/>
      </c>
      <c r="E26" s="48">
        <f>E16*Inputs!$E$30</f>
        <v/>
      </c>
      <c r="F26" s="48">
        <f>F16*Inputs!$F$30</f>
        <v/>
      </c>
      <c r="G26" s="48">
        <f>G16*Inputs!$G$30</f>
        <v/>
      </c>
    </row>
    <row r="27">
      <c r="A27" s="6" t="inlineStr">
        <is>
          <t>Pre-tax income</t>
        </is>
      </c>
      <c r="C27" s="48">
        <f>C25+C26</f>
        <v/>
      </c>
      <c r="D27" s="48">
        <f>D25+D26</f>
        <v/>
      </c>
      <c r="E27" s="48">
        <f>E25+E26</f>
        <v/>
      </c>
      <c r="F27" s="48">
        <f>F25+F26</f>
        <v/>
      </c>
      <c r="G27" s="48">
        <f>G25+G26</f>
        <v/>
      </c>
    </row>
    <row r="28">
      <c r="A28" s="6" t="inlineStr">
        <is>
          <t>Net income</t>
        </is>
      </c>
      <c r="C28" s="48">
        <f>C27*(1-Inputs!$C$29)</f>
        <v/>
      </c>
      <c r="D28" s="48">
        <f>D27*(1-Inputs!$D$29)</f>
        <v/>
      </c>
      <c r="E28" s="48">
        <f>E27*(1-Inputs!$E$29)</f>
        <v/>
      </c>
      <c r="F28" s="48">
        <f>F27*(1-Inputs!$F$29)</f>
        <v/>
      </c>
      <c r="G28" s="48">
        <f>G27*(1-Inputs!$G$29)</f>
        <v/>
      </c>
    </row>
    <row r="29">
      <c r="A29" s="6" t="inlineStr">
        <is>
          <t>Diluted shares</t>
        </is>
      </c>
      <c r="B29" s="50">
        <f>Inputs!$B$11</f>
        <v/>
      </c>
      <c r="C29" s="51">
        <f>B29*(1+Inputs!$C$31)</f>
        <v/>
      </c>
      <c r="D29" s="51">
        <f>C29*(1+Inputs!$D$31)</f>
        <v/>
      </c>
      <c r="E29" s="51">
        <f>D29*(1+Inputs!$E$31)</f>
        <v/>
      </c>
      <c r="F29" s="51">
        <f>E29*(1+Inputs!$F$31)</f>
        <v/>
      </c>
      <c r="G29" s="51">
        <f>F29*(1+Inputs!$G$31)</f>
        <v/>
      </c>
    </row>
    <row r="30">
      <c r="A30" s="6" t="inlineStr">
        <is>
          <t>EPS</t>
        </is>
      </c>
      <c r="C30" s="32">
        <f>C28/C29</f>
        <v/>
      </c>
      <c r="D30" s="32">
        <f>D28/D29</f>
        <v/>
      </c>
      <c r="E30" s="32">
        <f>E28/E29</f>
        <v/>
      </c>
      <c r="F30" s="32">
        <f>F28/F29</f>
        <v/>
      </c>
      <c r="G30" s="32">
        <f>G28/G29</f>
        <v/>
      </c>
    </row>
    <row r="31">
      <c r="A31" s="6" t="inlineStr">
        <is>
          <t>Change in NWC</t>
        </is>
      </c>
      <c r="C31" s="48">
        <f>(C16-B16)*Inputs!$C$32</f>
        <v/>
      </c>
      <c r="D31" s="48">
        <f>(D16-C16)*Inputs!$D$32</f>
        <v/>
      </c>
      <c r="E31" s="48">
        <f>(E16-D16)*Inputs!$E$32</f>
        <v/>
      </c>
      <c r="F31" s="48">
        <f>(F16-E16)*Inputs!$F$32</f>
        <v/>
      </c>
      <c r="G31" s="48">
        <f>(G16-F16)*Inputs!$G$32</f>
        <v/>
      </c>
    </row>
    <row r="32">
      <c r="A32" s="2" t="inlineStr">
        <is>
          <t>Unlevered free cash flow</t>
        </is>
      </c>
      <c r="C32" s="49">
        <f>C25*(1-Inputs!$C$29)+C23-C21-C31</f>
        <v/>
      </c>
      <c r="D32" s="49">
        <f>D25*(1-Inputs!$D$29)+D23-D21-D31</f>
        <v/>
      </c>
      <c r="E32" s="49">
        <f>E25*(1-Inputs!$E$29)+E23-E21-E31</f>
        <v/>
      </c>
      <c r="F32" s="49">
        <f>F25*(1-Inputs!$F$29)+F23-F21-F31</f>
        <v/>
      </c>
      <c r="G32" s="49">
        <f>G25*(1-Inputs!$G$29)+G23-G21-G31</f>
        <v/>
      </c>
    </row>
    <row r="34">
      <c r="A34" s="14" t="inlineStr">
        <is>
          <t>Cost of capital</t>
        </is>
      </c>
      <c r="B34" s="15" t="n"/>
      <c r="C34" s="15" t="n"/>
      <c r="D34" s="15" t="n"/>
      <c r="E34" s="15" t="n"/>
      <c r="F34" s="15" t="n"/>
      <c r="G34" s="15" t="n"/>
      <c r="H34" s="15" t="n"/>
    </row>
    <row r="35">
      <c r="A35" s="6" t="inlineStr">
        <is>
          <t>Cost of equity (CAPM)</t>
        </is>
      </c>
      <c r="B35" s="37">
        <f>Inputs!$B$37+Inputs!$B$38*Inputs!$B$39</f>
        <v/>
      </c>
    </row>
    <row r="36">
      <c r="A36" s="6" t="inlineStr">
        <is>
          <t>After-tax cost of debt</t>
        </is>
      </c>
      <c r="B36" s="37">
        <f>Inputs!$B$40*(1-Inputs!$B$41)</f>
        <v/>
      </c>
    </row>
    <row r="37">
      <c r="A37" s="6" t="inlineStr">
        <is>
          <t>Equity weight</t>
        </is>
      </c>
      <c r="B37" s="37">
        <f>IF(Inputs!$B$42+Inputs!$B$43=0,1,Inputs!$B$42/(Inputs!$B$42+Inputs!$B$43))</f>
        <v/>
      </c>
    </row>
    <row r="38">
      <c r="A38" s="2" t="inlineStr">
        <is>
          <t>WACC</t>
        </is>
      </c>
      <c r="B38" s="40">
        <f>'Calc Base'!$B$37*'Calc Base'!$B$35+(1-'Calc Base'!$B$37)*'Calc Base'!$B$36+'Calc Base'!$B$9</f>
        <v/>
      </c>
    </row>
    <row r="39">
      <c r="A39" s="6" t="inlineStr">
        <is>
          <t>Cost of equity (scenario)</t>
        </is>
      </c>
      <c r="B39" s="37">
        <f>'Calc Base'!$B$35+'Calc Base'!$B$9</f>
        <v/>
      </c>
    </row>
    <row r="41">
      <c r="A41" s="14" t="inlineStr">
        <is>
          <t>DCF (stub year counted pro rata, mid-period discounting)</t>
        </is>
      </c>
      <c r="B41" s="15" t="n"/>
      <c r="C41" s="15" t="n"/>
      <c r="D41" s="15" t="n"/>
      <c r="E41" s="15" t="n"/>
      <c r="F41" s="15" t="n"/>
      <c r="G41" s="15" t="n"/>
      <c r="H41" s="15" t="n"/>
    </row>
    <row r="42">
      <c r="A42" s="2" t="inlineStr">
        <is>
          <t>Fiscal year</t>
        </is>
      </c>
      <c r="B42" s="3" t="inlineStr">
        <is>
          <t>FY2026A</t>
        </is>
      </c>
      <c r="C42" s="22" t="n">
        <v>2027</v>
      </c>
      <c r="D42" s="22" t="n">
        <v>2028</v>
      </c>
      <c r="E42" s="22" t="n">
        <v>2029</v>
      </c>
      <c r="F42" s="22" t="n">
        <v>2030</v>
      </c>
      <c r="G42" s="22" t="n">
        <v>2031</v>
      </c>
    </row>
    <row r="43">
      <c r="A43" s="6" t="inlineStr">
        <is>
          <t>Fiscal year end</t>
        </is>
      </c>
      <c r="C43" s="52">
        <f>Inputs!$C$19</f>
        <v/>
      </c>
      <c r="D43" s="52">
        <f>Inputs!$D$19</f>
        <v/>
      </c>
      <c r="E43" s="52">
        <f>Inputs!$E$19</f>
        <v/>
      </c>
      <c r="F43" s="52">
        <f>Inputs!$F$19</f>
        <v/>
      </c>
      <c r="G43" s="52">
        <f>Inputs!$G$19</f>
        <v/>
      </c>
    </row>
    <row r="44">
      <c r="A44" s="6" t="inlineStr">
        <is>
          <t>Years from price date to year end</t>
        </is>
      </c>
      <c r="C44" s="46">
        <f>(C43-Inputs!$B$7)/Inputs!$B$10</f>
        <v/>
      </c>
      <c r="D44" s="46">
        <f>(D43-Inputs!$B$7)/Inputs!$B$10</f>
        <v/>
      </c>
      <c r="E44" s="46">
        <f>(E43-Inputs!$B$7)/Inputs!$B$10</f>
        <v/>
      </c>
      <c r="F44" s="46">
        <f>(F43-Inputs!$B$7)/Inputs!$B$10</f>
        <v/>
      </c>
      <c r="G44" s="46">
        <f>(G43-Inputs!$B$7)/Inputs!$B$10</f>
        <v/>
      </c>
    </row>
    <row r="45">
      <c r="A45" s="6" t="inlineStr">
        <is>
          <t>Previous counted year end</t>
        </is>
      </c>
      <c r="C45" s="46">
        <f>0</f>
        <v/>
      </c>
      <c r="D45" s="46">
        <f>IF(C44&gt;0,C44,0)</f>
        <v/>
      </c>
      <c r="E45" s="46">
        <f>IF(D44&gt;0,D44,0)</f>
        <v/>
      </c>
      <c r="F45" s="46">
        <f>IF(E44&gt;0,E44,0)</f>
        <v/>
      </c>
      <c r="G45" s="46">
        <f>IF(F44&gt;0,F44,0)</f>
        <v/>
      </c>
    </row>
    <row r="46">
      <c r="A46" s="6" t="inlineStr">
        <is>
          <t>Period start</t>
        </is>
      </c>
      <c r="C46" s="46">
        <f>MAX(C45,C44-1)</f>
        <v/>
      </c>
      <c r="D46" s="46">
        <f>MAX(D45,D44-1)</f>
        <v/>
      </c>
      <c r="E46" s="46">
        <f>MAX(E45,E44-1)</f>
        <v/>
      </c>
      <c r="F46" s="46">
        <f>MAX(F45,F44-1)</f>
        <v/>
      </c>
      <c r="G46" s="46">
        <f>MAX(G45,G44-1)</f>
        <v/>
      </c>
    </row>
    <row r="47">
      <c r="A47" s="6" t="inlineStr">
        <is>
          <t>Fraction of the year counted</t>
        </is>
      </c>
      <c r="C47" s="46">
        <f>IF(C44&gt;0,C44-C46,0)</f>
        <v/>
      </c>
      <c r="D47" s="46">
        <f>IF(D44&gt;0,D44-D46,0)</f>
        <v/>
      </c>
      <c r="E47" s="46">
        <f>IF(E44&gt;0,E44-E46,0)</f>
        <v/>
      </c>
      <c r="F47" s="46">
        <f>IF(F44&gt;0,F44-F46,0)</f>
        <v/>
      </c>
      <c r="G47" s="46">
        <f>IF(G44&gt;0,G44-G46,0)</f>
        <v/>
      </c>
    </row>
    <row r="48">
      <c r="A48" s="6" t="inlineStr">
        <is>
          <t>Discount period (mid-point)</t>
        </is>
      </c>
      <c r="C48" s="46">
        <f>(C46+C44)/2</f>
        <v/>
      </c>
      <c r="D48" s="46">
        <f>(D46+D44)/2</f>
        <v/>
      </c>
      <c r="E48" s="46">
        <f>(E46+E44)/2</f>
        <v/>
      </c>
      <c r="F48" s="46">
        <f>(F46+F44)/2</f>
        <v/>
      </c>
      <c r="G48" s="46">
        <f>(G46+G44)/2</f>
        <v/>
      </c>
    </row>
    <row r="49">
      <c r="A49" s="6" t="inlineStr">
        <is>
          <t>Discount factor</t>
        </is>
      </c>
      <c r="C49" s="46">
        <f>(1+'Calc Base'!$B$38)^-C48</f>
        <v/>
      </c>
      <c r="D49" s="46">
        <f>(1+'Calc Base'!$B$38)^-D48</f>
        <v/>
      </c>
      <c r="E49" s="46">
        <f>(1+'Calc Base'!$B$38)^-E48</f>
        <v/>
      </c>
      <c r="F49" s="46">
        <f>(1+'Calc Base'!$B$38)^-F48</f>
        <v/>
      </c>
      <c r="G49" s="46">
        <f>(1+'Calc Base'!$B$38)^-G48</f>
        <v/>
      </c>
    </row>
    <row r="50">
      <c r="A50" s="6" t="inlineStr">
        <is>
          <t>PV of counted cash flow</t>
        </is>
      </c>
      <c r="C50" s="48">
        <f>C32*C47*C49</f>
        <v/>
      </c>
      <c r="D50" s="48">
        <f>D32*D47*D49</f>
        <v/>
      </c>
      <c r="E50" s="48">
        <f>E32*E47*E49</f>
        <v/>
      </c>
      <c r="F50" s="48">
        <f>F32*F47*F49</f>
        <v/>
      </c>
      <c r="G50" s="48">
        <f>G32*G47*G49</f>
        <v/>
      </c>
    </row>
    <row r="51">
      <c r="A51" s="6" t="inlineStr">
        <is>
          <t>Sum of PV of cash flows</t>
        </is>
      </c>
      <c r="B51" s="48">
        <f>SUM(C50:G50)</f>
        <v/>
      </c>
    </row>
    <row r="52">
      <c r="A52" s="6" t="inlineStr">
        <is>
          <t>Years to final year end</t>
        </is>
      </c>
      <c r="B52" s="46">
        <f>MAX(G44,0)</f>
        <v/>
      </c>
    </row>
    <row r="53">
      <c r="A53" s="6" t="inlineStr">
        <is>
          <t>Terminal value</t>
        </is>
      </c>
      <c r="B53" s="48">
        <f>IF(Inputs!$B$48="exit_multiple",Inputs!$B$46*'Calc Base'!$B$8*G20,G32*(1+Inputs!$B$47)/('Calc Base'!$B$38-Inputs!$B$47))</f>
        <v/>
      </c>
    </row>
    <row r="54">
      <c r="A54" s="6" t="inlineStr">
        <is>
          <t>PV of terminal value</t>
        </is>
      </c>
      <c r="B54" s="48">
        <f>'Calc Base'!$B$53*(1+'Calc Base'!$B$38)^-'Calc Base'!$B$52</f>
        <v/>
      </c>
    </row>
    <row r="55">
      <c r="A55" s="2" t="inlineStr">
        <is>
          <t>Enterprise value</t>
        </is>
      </c>
      <c r="B55" s="49">
        <f>'Calc Base'!$B$51+'Calc Base'!$B$54</f>
        <v/>
      </c>
    </row>
    <row r="56">
      <c r="A56" s="6" t="inlineStr">
        <is>
          <t>Equity value</t>
        </is>
      </c>
      <c r="B56" s="48">
        <f>'Calc Base'!$B$55-Inputs!$B$12</f>
        <v/>
      </c>
    </row>
    <row r="57">
      <c r="A57" s="6" t="inlineStr">
        <is>
          <t>Value per share today (local)</t>
        </is>
      </c>
      <c r="B57" s="32">
        <f>'Calc Base'!$B$56/Inputs!$B$11</f>
        <v/>
      </c>
    </row>
    <row r="58">
      <c r="A58" s="6" t="inlineStr">
        <is>
          <t>Value per traded unit today</t>
        </is>
      </c>
      <c r="B58" s="32">
        <f>'Calc Base'!$B$57*Inputs!$B$14/Inputs!$B$15</f>
        <v/>
      </c>
    </row>
    <row r="59">
      <c r="A59" s="6" t="inlineStr">
        <is>
          <t>Terminal value share of EV</t>
        </is>
      </c>
      <c r="B59" s="37">
        <f>'Calc Base'!$B$54/'Calc Base'!$B$55</f>
        <v/>
      </c>
    </row>
    <row r="61">
      <c r="A61" s="14" t="inlineStr">
        <is>
          <t>Methods at the target date</t>
        </is>
      </c>
      <c r="B61" s="15" t="n"/>
      <c r="C61" s="15" t="n"/>
      <c r="D61" s="15" t="n"/>
      <c r="E61" s="15" t="n"/>
      <c r="F61" s="15" t="n"/>
      <c r="G61" s="15" t="n"/>
      <c r="H61" s="15" t="n"/>
    </row>
    <row r="62">
      <c r="A62" s="6" t="inlineStr">
        <is>
          <t>Horizon (years)</t>
        </is>
      </c>
      <c r="B62" s="46">
        <f>Inputs!$B$8/Inputs!$B$9</f>
        <v/>
      </c>
    </row>
    <row r="63">
      <c r="A63" s="6" t="inlineStr">
        <is>
          <t>Target date (horizon rounded to whole days, half to even)</t>
        </is>
      </c>
      <c r="B63" s="53">
        <f>Inputs!$B$7+IF(('Calc Base'!$B$62*Inputs!$B$10-INT('Calc Base'!$B$62*Inputs!$B$10))*2=1,2*ROUND('Calc Base'!$B$62*Inputs!$B$10/2,0),ROUND('Calc Base'!$B$62*Inputs!$B$10,0))</f>
        <v/>
      </c>
    </row>
    <row r="64">
      <c r="A64" s="2" t="inlineStr">
        <is>
          <t>Fiscal year</t>
        </is>
      </c>
      <c r="B64" s="3" t="inlineStr">
        <is>
          <t>FY2026A</t>
        </is>
      </c>
      <c r="C64" s="22" t="n">
        <v>2027</v>
      </c>
      <c r="D64" s="22" t="n">
        <v>2028</v>
      </c>
      <c r="E64" s="22" t="n">
        <v>2029</v>
      </c>
      <c r="F64" s="22" t="n">
        <v>2030</v>
      </c>
      <c r="G64" s="22" t="n">
        <v>2031</v>
      </c>
    </row>
    <row r="65">
      <c r="A65" s="6" t="inlineStr">
        <is>
          <t>NTM weight</t>
        </is>
      </c>
      <c r="C65" s="46">
        <f>IF(C43&gt;='Calc Base'!$B$63,MIN((C43-'Calc Base'!$B$63)/Inputs!$B$10,1),0)</f>
        <v/>
      </c>
      <c r="D65" s="46">
        <f>IF(AND(D43&gt;='Calc Base'!$B$63,C43&lt;'Calc Base'!$B$63),MIN((D43-'Calc Base'!$B$63)/Inputs!$B$10,1),IF(C43&gt;='Calc Base'!$B$63,1-MIN((C43-'Calc Base'!$B$63)/Inputs!$B$10,1),0))</f>
        <v/>
      </c>
      <c r="E65" s="46">
        <f>IF(AND(E43&gt;='Calc Base'!$B$63,D43&lt;'Calc Base'!$B$63),MIN((E43-'Calc Base'!$B$63)/Inputs!$B$10,1),IF(AND(D43&gt;='Calc Base'!$B$63,C43&lt;'Calc Base'!$B$63),1-MIN((D43-'Calc Base'!$B$63)/Inputs!$B$10,1),0))</f>
        <v/>
      </c>
      <c r="F65" s="46">
        <f>IF(AND(F43&gt;='Calc Base'!$B$63,E43&lt;'Calc Base'!$B$63),MIN((F43-'Calc Base'!$B$63)/Inputs!$B$10,1),IF(AND(E43&gt;='Calc Base'!$B$63,D43&lt;'Calc Base'!$B$63),1-MIN((E43-'Calc Base'!$B$63)/Inputs!$B$10,1),0))</f>
        <v/>
      </c>
      <c r="G65" s="46">
        <f>IF(AND(G43&gt;='Calc Base'!$B$63,F43&lt;'Calc Base'!$B$63),0,IF(AND(F43&gt;='Calc Base'!$B$63,E43&lt;'Calc Base'!$B$63),1-MIN((F43-'Calc Base'!$B$63)/Inputs!$B$10,1),0))</f>
        <v/>
      </c>
    </row>
    <row r="66">
      <c r="A66" s="6" t="inlineStr">
        <is>
          <t>NTM EPS at target</t>
        </is>
      </c>
      <c r="B66" s="32">
        <f>C65*C30+D65*D30+E65*E30+F65*F30+G65*G30</f>
        <v/>
      </c>
    </row>
    <row r="67">
      <c r="A67" s="6" t="inlineStr">
        <is>
          <t>NTM EBITDA at target</t>
        </is>
      </c>
      <c r="B67" s="48">
        <f>C65*C20+D65*D20+E65*E20+F65*F20+G65*G20</f>
        <v/>
      </c>
    </row>
    <row r="68">
      <c r="A68" s="6" t="inlineStr">
        <is>
          <t>DCF (rolled to target date, less dividends)</t>
        </is>
      </c>
      <c r="B68" s="32">
        <f>'Calc Base'!$B$58*(1+'Calc Base'!$B$39)^'Calc Base'!$B$62-Inputs!$B$13*'Calc Base'!$B$62</f>
        <v/>
      </c>
    </row>
    <row r="69">
      <c r="A69" s="6" t="inlineStr">
        <is>
          <t>P/E x NTM EPS</t>
        </is>
      </c>
      <c r="B69" s="32">
        <f>Inputs!$B$51*'Calc Base'!$B$8*'Calc Base'!$B$66*Inputs!$B$14/Inputs!$B$15</f>
        <v/>
      </c>
    </row>
    <row r="70">
      <c r="A70" s="6" t="inlineStr">
        <is>
          <t>EV/EBITDA x NTM EBITDA, less net debt</t>
        </is>
      </c>
      <c r="B70" s="32">
        <f>(Inputs!$B$52*'Calc Base'!$B$8*'Calc Base'!$B$67-Inputs!$B$12)/Inputs!$B$11*Inputs!$B$14/Inputs!$B$15</f>
        <v/>
      </c>
    </row>
    <row r="71">
      <c r="A71" s="2" t="inlineStr">
        <is>
          <t>Price target (weighted)</t>
        </is>
      </c>
      <c r="B71" s="35">
        <f>IF(Inputs!$B$55+Inputs!$B$56+Inputs!$B$57=0,'Calc Base'!$B$68,('Calc Base'!$B$68*Inputs!$B$55+'Calc Base'!$B$69*Inputs!$B$56+'Calc Base'!$B$70*Inputs!$B$57)/(Inputs!$B$55+Inputs!$B$56+Inputs!$B$57))</f>
        <v/>
      </c>
    </row>
    <row r="72">
      <c r="A72" s="6" t="inlineStr">
        <is>
          <t>Weight used: dcf</t>
        </is>
      </c>
      <c r="B72" s="37">
        <f>IF(Inputs!$B$55+Inputs!$B$56+Inputs!$B$57=0,IF("dcf"="dcf",1,0),Inputs!$B$55/(Inputs!$B$55+Inputs!$B$56+Inputs!$B$57))</f>
        <v/>
      </c>
    </row>
    <row r="73">
      <c r="A73" s="6" t="inlineStr">
        <is>
          <t>Weight used: pe</t>
        </is>
      </c>
      <c r="B73" s="37">
        <f>IF(Inputs!$B$55+Inputs!$B$56+Inputs!$B$57=0,IF("pe"="dcf",1,0),Inputs!$B$56/(Inputs!$B$55+Inputs!$B$56+Inputs!$B$57))</f>
        <v/>
      </c>
    </row>
    <row r="74">
      <c r="A74" s="6" t="inlineStr">
        <is>
          <t>Weight used: ev_ebitda</t>
        </is>
      </c>
      <c r="B74" s="37">
        <f>IF(Inputs!$B$55+Inputs!$B$56+Inputs!$B$57=0,IF("ev_ebitda"="dcf",1,0),Inputs!$B$57/(Inputs!$B$55+Inputs!$B$56+Inputs!$B$57))</f>
        <v/>
      </c>
    </row>
    <row r="75">
      <c r="A75" s="6" t="inlineStr">
        <is>
          <t>Price return</t>
        </is>
      </c>
      <c r="B75" s="37">
        <f>'Calc Base'!$B$71/Inputs!$B$6-1</f>
        <v/>
      </c>
    </row>
    <row r="76">
      <c r="A76" s="2" t="inlineStr">
        <is>
          <t>Total return (incl. dividends)</t>
        </is>
      </c>
      <c r="B76" s="40">
        <f>'Calc Base'!$B$75+Inputs!$B$13*'Calc Base'!$B$62/Inputs!$B$6</f>
        <v/>
      </c>
    </row>
    <row r="77">
      <c r="A77" s="6" t="inlineStr">
        <is>
          <t>Cost of equity used for the roll-forward</t>
        </is>
      </c>
      <c r="B77" s="37">
        <f>'Calc Base'!$B$39</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8" customWidth="1" min="1" max="1"/>
    <col width="16" customWidth="1" min="2" max="2"/>
    <col width="14" customWidth="1" min="3" max="3"/>
    <col width="14" customWidth="1" min="4" max="4"/>
    <col width="14" customWidth="1" min="5" max="5"/>
    <col width="14" customWidth="1" min="6" max="6"/>
    <col width="14" customWidth="1" min="7" max="7"/>
    <col width="90" customWidth="1" min="8" max="8"/>
  </cols>
  <sheetData>
    <row r="1">
      <c r="A1" s="1" t="inlineStr">
        <is>
          <t>MU bull case: calculations</t>
        </is>
      </c>
    </row>
    <row r="2">
      <c r="A2" t="inlineStr">
        <is>
          <t>All formulas. Inputs live on the Inputs tab.</t>
        </is>
      </c>
    </row>
    <row r="5">
      <c r="A5" s="14" t="inlineStr">
        <is>
          <t>Scenario</t>
        </is>
      </c>
      <c r="B5" s="15" t="n"/>
      <c r="C5" s="15" t="n"/>
      <c r="D5" s="15" t="n"/>
      <c r="E5" s="15" t="n"/>
      <c r="F5" s="15" t="n"/>
      <c r="G5" s="15" t="n"/>
      <c r="H5" s="15" t="n"/>
    </row>
    <row r="6">
      <c r="A6" s="6" t="inlineStr">
        <is>
          <t>Growth delta</t>
        </is>
      </c>
      <c r="B6" s="37">
        <f>Inputs!$B$63</f>
        <v/>
      </c>
    </row>
    <row r="7">
      <c r="A7" s="6" t="inlineStr">
        <is>
          <t>Margin delta (by final year)</t>
        </is>
      </c>
      <c r="B7" s="37">
        <f>Inputs!$C$63</f>
        <v/>
      </c>
    </row>
    <row r="8">
      <c r="A8" s="6" t="inlineStr">
        <is>
          <t>Multiple factor</t>
        </is>
      </c>
      <c r="B8" s="46">
        <f>1+Inputs!$D$63</f>
        <v/>
      </c>
    </row>
    <row r="9">
      <c r="A9" s="6" t="inlineStr">
        <is>
          <t>WACC delta</t>
        </is>
      </c>
      <c r="B9" s="37">
        <f>Inputs!$E$63</f>
        <v/>
      </c>
    </row>
    <row r="11">
      <c r="A11" s="14" t="inlineStr">
        <is>
          <t>Projections</t>
        </is>
      </c>
      <c r="B11" s="15" t="n"/>
      <c r="C11" s="15" t="n"/>
      <c r="D11" s="15" t="n"/>
      <c r="E11" s="15" t="n"/>
      <c r="F11" s="15" t="n"/>
      <c r="G11" s="15" t="n"/>
      <c r="H11" s="15" t="n"/>
    </row>
    <row r="12">
      <c r="A12" s="2" t="inlineStr">
        <is>
          <t>Fiscal year</t>
        </is>
      </c>
      <c r="B12" s="3" t="inlineStr">
        <is>
          <t>FY2026A</t>
        </is>
      </c>
      <c r="C12" s="22" t="n">
        <v>2027</v>
      </c>
      <c r="D12" s="22" t="n">
        <v>2028</v>
      </c>
      <c r="E12" s="22" t="n">
        <v>2029</v>
      </c>
      <c r="F12" s="22" t="n">
        <v>2030</v>
      </c>
      <c r="G12" s="22" t="n">
        <v>2031</v>
      </c>
    </row>
    <row r="13">
      <c r="A13" s="6" t="inlineStr">
        <is>
          <t>Projection year</t>
        </is>
      </c>
      <c r="C13" s="26">
        <f>1</f>
        <v/>
      </c>
      <c r="D13" s="26">
        <f>C13+1</f>
        <v/>
      </c>
      <c r="E13" s="26">
        <f>D13+1</f>
        <v/>
      </c>
      <c r="F13" s="26">
        <f>E13+1</f>
        <v/>
      </c>
      <c r="G13" s="26">
        <f>F13+1</f>
        <v/>
      </c>
    </row>
    <row r="14">
      <c r="A14" s="6" t="inlineStr">
        <is>
          <t>Total: growth</t>
        </is>
      </c>
      <c r="C14" s="37">
        <f>Inputs!$C$64+'Calc Bull'!$B$6</f>
        <v/>
      </c>
      <c r="D14" s="37">
        <f>Inputs!$D$64+'Calc Bull'!$B$6</f>
        <v/>
      </c>
      <c r="E14" s="37">
        <f>Inputs!$E$64+'Calc Bull'!$B$6</f>
        <v/>
      </c>
      <c r="F14" s="37">
        <f>Inputs!$F$64+'Calc Bull'!$B$6</f>
        <v/>
      </c>
      <c r="G14" s="37">
        <f>Inputs!$G$64+'Calc Bull'!$B$6</f>
        <v/>
      </c>
    </row>
    <row r="15">
      <c r="A15" s="6" t="inlineStr">
        <is>
          <t>Total: revenue</t>
        </is>
      </c>
      <c r="B15" s="47">
        <f>Inputs!$B$23</f>
        <v/>
      </c>
      <c r="C15" s="48">
        <f>B15*(1+C14)</f>
        <v/>
      </c>
      <c r="D15" s="48">
        <f>C15*(1+D14)</f>
        <v/>
      </c>
      <c r="E15" s="48">
        <f>D15*(1+E14)</f>
        <v/>
      </c>
      <c r="F15" s="48">
        <f>E15*(1+F14)</f>
        <v/>
      </c>
      <c r="G15" s="48">
        <f>F15*(1+G14)</f>
        <v/>
      </c>
    </row>
    <row r="16">
      <c r="A16" s="2" t="inlineStr">
        <is>
          <t>Revenue</t>
        </is>
      </c>
      <c r="B16" s="48">
        <f>B15</f>
        <v/>
      </c>
      <c r="C16" s="49">
        <f>C15</f>
        <v/>
      </c>
      <c r="D16" s="49">
        <f>D15</f>
        <v/>
      </c>
      <c r="E16" s="49">
        <f>E15</f>
        <v/>
      </c>
      <c r="F16" s="49">
        <f>F15</f>
        <v/>
      </c>
      <c r="G16" s="49">
        <f>G15</f>
        <v/>
      </c>
    </row>
    <row r="17">
      <c r="A17" s="6" t="inlineStr">
        <is>
          <t>Revenue growth</t>
        </is>
      </c>
      <c r="C17" s="37">
        <f>C16/B16-1</f>
        <v/>
      </c>
      <c r="D17" s="37">
        <f>D16/C16-1</f>
        <v/>
      </c>
      <c r="E17" s="37">
        <f>E16/D16-1</f>
        <v/>
      </c>
      <c r="F17" s="37">
        <f>F16/E16-1</f>
        <v/>
      </c>
      <c r="G17" s="37">
        <f>G16/F16-1</f>
        <v/>
      </c>
    </row>
    <row r="18">
      <c r="A18" s="6" t="inlineStr">
        <is>
          <t>Margin delta ramp</t>
        </is>
      </c>
      <c r="C18" s="37">
        <f>C13/$G$13</f>
        <v/>
      </c>
      <c r="D18" s="37">
        <f>D13/$G$13</f>
        <v/>
      </c>
      <c r="E18" s="37">
        <f>E13/$G$13</f>
        <v/>
      </c>
      <c r="F18" s="37">
        <f>F13/$G$13</f>
        <v/>
      </c>
      <c r="G18" s="37">
        <f>G13/$G$13</f>
        <v/>
      </c>
    </row>
    <row r="19">
      <c r="A19" s="6" t="inlineStr">
        <is>
          <t>EBITDA margin</t>
        </is>
      </c>
      <c r="C19" s="37">
        <f>Inputs!$C$27+'Calc Bull'!$B$7*C18</f>
        <v/>
      </c>
      <c r="D19" s="37">
        <f>Inputs!$D$27+'Calc Bull'!$B$7*D18</f>
        <v/>
      </c>
      <c r="E19" s="37">
        <f>Inputs!$E$27+'Calc Bull'!$B$7*E18</f>
        <v/>
      </c>
      <c r="F19" s="37">
        <f>Inputs!$F$27+'Calc Bull'!$B$7*F18</f>
        <v/>
      </c>
      <c r="G19" s="37">
        <f>Inputs!$G$27+'Calc Bull'!$B$7*G18</f>
        <v/>
      </c>
    </row>
    <row r="20">
      <c r="A20" s="6" t="inlineStr">
        <is>
          <t>EBITDA</t>
        </is>
      </c>
      <c r="C20" s="48">
        <f>C16*C19</f>
        <v/>
      </c>
      <c r="D20" s="48">
        <f>D16*D19</f>
        <v/>
      </c>
      <c r="E20" s="48">
        <f>E16*E19</f>
        <v/>
      </c>
      <c r="F20" s="48">
        <f>F16*F19</f>
        <v/>
      </c>
      <c r="G20" s="48">
        <f>G16*G19</f>
        <v/>
      </c>
    </row>
    <row r="21">
      <c r="A21" s="6" t="inlineStr">
        <is>
          <t>CapEx</t>
        </is>
      </c>
      <c r="C21" s="48">
        <f>C16*Inputs!$C$28</f>
        <v/>
      </c>
      <c r="D21" s="48">
        <f>D16*Inputs!$D$28</f>
        <v/>
      </c>
      <c r="E21" s="48">
        <f>E16*Inputs!$E$28</f>
        <v/>
      </c>
      <c r="F21" s="48">
        <f>F16*Inputs!$F$28</f>
        <v/>
      </c>
      <c r="G21" s="48">
        <f>G16*Inputs!$G$28</f>
        <v/>
      </c>
    </row>
    <row r="22">
      <c r="A22" s="6" t="inlineStr">
        <is>
          <t>Net PP&amp;E, opening</t>
        </is>
      </c>
      <c r="C22" s="47">
        <f>Inputs!$B$33</f>
        <v/>
      </c>
      <c r="D22" s="48">
        <f>C24</f>
        <v/>
      </c>
      <c r="E22" s="48">
        <f>D24</f>
        <v/>
      </c>
      <c r="F22" s="48">
        <f>E24</f>
        <v/>
      </c>
      <c r="G22" s="48">
        <f>F24</f>
        <v/>
      </c>
    </row>
    <row r="23">
      <c r="A23" s="6" t="inlineStr">
        <is>
          <t>D&amp;A (opening PP&amp;E + half of CapEx) / life</t>
        </is>
      </c>
      <c r="C23" s="48">
        <f>(C22+C21/2)/Inputs!$B$34</f>
        <v/>
      </c>
      <c r="D23" s="48">
        <f>(D22+D21/2)/Inputs!$B$34</f>
        <v/>
      </c>
      <c r="E23" s="48">
        <f>(E22+E21/2)/Inputs!$B$34</f>
        <v/>
      </c>
      <c r="F23" s="48">
        <f>(F22+F21/2)/Inputs!$B$34</f>
        <v/>
      </c>
      <c r="G23" s="48">
        <f>(G22+G21/2)/Inputs!$B$34</f>
        <v/>
      </c>
    </row>
    <row r="24">
      <c r="A24" s="6" t="inlineStr">
        <is>
          <t>Net PP&amp;E, closing</t>
        </is>
      </c>
      <c r="C24" s="48">
        <f>C22+C21-C23</f>
        <v/>
      </c>
      <c r="D24" s="48">
        <f>D22+D21-D23</f>
        <v/>
      </c>
      <c r="E24" s="48">
        <f>E22+E21-E23</f>
        <v/>
      </c>
      <c r="F24" s="48">
        <f>F22+F21-F23</f>
        <v/>
      </c>
      <c r="G24" s="48">
        <f>G22+G21-G23</f>
        <v/>
      </c>
    </row>
    <row r="25">
      <c r="A25" s="6" t="inlineStr">
        <is>
          <t>EBIT</t>
        </is>
      </c>
      <c r="C25" s="48">
        <f>C20-C23</f>
        <v/>
      </c>
      <c r="D25" s="48">
        <f>D20-D23</f>
        <v/>
      </c>
      <c r="E25" s="48">
        <f>E20-E23</f>
        <v/>
      </c>
      <c r="F25" s="48">
        <f>F20-F23</f>
        <v/>
      </c>
      <c r="G25" s="48">
        <f>G20-G23</f>
        <v/>
      </c>
    </row>
    <row r="26">
      <c r="A26" s="6" t="inlineStr">
        <is>
          <t>Other income</t>
        </is>
      </c>
      <c r="C26" s="48">
        <f>C16*Inputs!$C$30</f>
        <v/>
      </c>
      <c r="D26" s="48">
        <f>D16*Inputs!$D$30</f>
        <v/>
      </c>
      <c r="E26" s="48">
        <f>E16*Inputs!$E$30</f>
        <v/>
      </c>
      <c r="F26" s="48">
        <f>F16*Inputs!$F$30</f>
        <v/>
      </c>
      <c r="G26" s="48">
        <f>G16*Inputs!$G$30</f>
        <v/>
      </c>
    </row>
    <row r="27">
      <c r="A27" s="6" t="inlineStr">
        <is>
          <t>Pre-tax income</t>
        </is>
      </c>
      <c r="C27" s="48">
        <f>C25+C26</f>
        <v/>
      </c>
      <c r="D27" s="48">
        <f>D25+D26</f>
        <v/>
      </c>
      <c r="E27" s="48">
        <f>E25+E26</f>
        <v/>
      </c>
      <c r="F27" s="48">
        <f>F25+F26</f>
        <v/>
      </c>
      <c r="G27" s="48">
        <f>G25+G26</f>
        <v/>
      </c>
    </row>
    <row r="28">
      <c r="A28" s="6" t="inlineStr">
        <is>
          <t>Net income</t>
        </is>
      </c>
      <c r="C28" s="48">
        <f>C27*(1-Inputs!$C$29)</f>
        <v/>
      </c>
      <c r="D28" s="48">
        <f>D27*(1-Inputs!$D$29)</f>
        <v/>
      </c>
      <c r="E28" s="48">
        <f>E27*(1-Inputs!$E$29)</f>
        <v/>
      </c>
      <c r="F28" s="48">
        <f>F27*(1-Inputs!$F$29)</f>
        <v/>
      </c>
      <c r="G28" s="48">
        <f>G27*(1-Inputs!$G$29)</f>
        <v/>
      </c>
    </row>
    <row r="29">
      <c r="A29" s="6" t="inlineStr">
        <is>
          <t>Diluted shares</t>
        </is>
      </c>
      <c r="B29" s="50">
        <f>Inputs!$B$11</f>
        <v/>
      </c>
      <c r="C29" s="51">
        <f>B29*(1+Inputs!$C$31)</f>
        <v/>
      </c>
      <c r="D29" s="51">
        <f>C29*(1+Inputs!$D$31)</f>
        <v/>
      </c>
      <c r="E29" s="51">
        <f>D29*(1+Inputs!$E$31)</f>
        <v/>
      </c>
      <c r="F29" s="51">
        <f>E29*(1+Inputs!$F$31)</f>
        <v/>
      </c>
      <c r="G29" s="51">
        <f>F29*(1+Inputs!$G$31)</f>
        <v/>
      </c>
    </row>
    <row r="30">
      <c r="A30" s="6" t="inlineStr">
        <is>
          <t>EPS</t>
        </is>
      </c>
      <c r="C30" s="32">
        <f>C28/C29</f>
        <v/>
      </c>
      <c r="D30" s="32">
        <f>D28/D29</f>
        <v/>
      </c>
      <c r="E30" s="32">
        <f>E28/E29</f>
        <v/>
      </c>
      <c r="F30" s="32">
        <f>F28/F29</f>
        <v/>
      </c>
      <c r="G30" s="32">
        <f>G28/G29</f>
        <v/>
      </c>
    </row>
    <row r="31">
      <c r="A31" s="6" t="inlineStr">
        <is>
          <t>Change in NWC</t>
        </is>
      </c>
      <c r="C31" s="48">
        <f>(C16-B16)*Inputs!$C$32</f>
        <v/>
      </c>
      <c r="D31" s="48">
        <f>(D16-C16)*Inputs!$D$32</f>
        <v/>
      </c>
      <c r="E31" s="48">
        <f>(E16-D16)*Inputs!$E$32</f>
        <v/>
      </c>
      <c r="F31" s="48">
        <f>(F16-E16)*Inputs!$F$32</f>
        <v/>
      </c>
      <c r="G31" s="48">
        <f>(G16-F16)*Inputs!$G$32</f>
        <v/>
      </c>
    </row>
    <row r="32">
      <c r="A32" s="2" t="inlineStr">
        <is>
          <t>Unlevered free cash flow</t>
        </is>
      </c>
      <c r="C32" s="49">
        <f>C25*(1-Inputs!$C$29)+C23-C21-C31</f>
        <v/>
      </c>
      <c r="D32" s="49">
        <f>D25*(1-Inputs!$D$29)+D23-D21-D31</f>
        <v/>
      </c>
      <c r="E32" s="49">
        <f>E25*(1-Inputs!$E$29)+E23-E21-E31</f>
        <v/>
      </c>
      <c r="F32" s="49">
        <f>F25*(1-Inputs!$F$29)+F23-F21-F31</f>
        <v/>
      </c>
      <c r="G32" s="49">
        <f>G25*(1-Inputs!$G$29)+G23-G21-G31</f>
        <v/>
      </c>
    </row>
    <row r="34">
      <c r="A34" s="14" t="inlineStr">
        <is>
          <t>Cost of capital</t>
        </is>
      </c>
      <c r="B34" s="15" t="n"/>
      <c r="C34" s="15" t="n"/>
      <c r="D34" s="15" t="n"/>
      <c r="E34" s="15" t="n"/>
      <c r="F34" s="15" t="n"/>
      <c r="G34" s="15" t="n"/>
      <c r="H34" s="15" t="n"/>
    </row>
    <row r="35">
      <c r="A35" s="6" t="inlineStr">
        <is>
          <t>Cost of equity (CAPM)</t>
        </is>
      </c>
      <c r="B35" s="37">
        <f>Inputs!$B$37+Inputs!$B$38*Inputs!$B$39</f>
        <v/>
      </c>
    </row>
    <row r="36">
      <c r="A36" s="6" t="inlineStr">
        <is>
          <t>After-tax cost of debt</t>
        </is>
      </c>
      <c r="B36" s="37">
        <f>Inputs!$B$40*(1-Inputs!$B$41)</f>
        <v/>
      </c>
    </row>
    <row r="37">
      <c r="A37" s="6" t="inlineStr">
        <is>
          <t>Equity weight</t>
        </is>
      </c>
      <c r="B37" s="37">
        <f>IF(Inputs!$B$42+Inputs!$B$43=0,1,Inputs!$B$42/(Inputs!$B$42+Inputs!$B$43))</f>
        <v/>
      </c>
    </row>
    <row r="38">
      <c r="A38" s="2" t="inlineStr">
        <is>
          <t>WACC</t>
        </is>
      </c>
      <c r="B38" s="40">
        <f>'Calc Bull'!$B$37*'Calc Bull'!$B$35+(1-'Calc Bull'!$B$37)*'Calc Bull'!$B$36+'Calc Bull'!$B$9</f>
        <v/>
      </c>
    </row>
    <row r="39">
      <c r="A39" s="6" t="inlineStr">
        <is>
          <t>Cost of equity (scenario)</t>
        </is>
      </c>
      <c r="B39" s="37">
        <f>'Calc Bull'!$B$35+'Calc Bull'!$B$9</f>
        <v/>
      </c>
    </row>
    <row r="41">
      <c r="A41" s="14" t="inlineStr">
        <is>
          <t>DCF (stub year counted pro rata, mid-period discounting)</t>
        </is>
      </c>
      <c r="B41" s="15" t="n"/>
      <c r="C41" s="15" t="n"/>
      <c r="D41" s="15" t="n"/>
      <c r="E41" s="15" t="n"/>
      <c r="F41" s="15" t="n"/>
      <c r="G41" s="15" t="n"/>
      <c r="H41" s="15" t="n"/>
    </row>
    <row r="42">
      <c r="A42" s="2" t="inlineStr">
        <is>
          <t>Fiscal year</t>
        </is>
      </c>
      <c r="B42" s="3" t="inlineStr">
        <is>
          <t>FY2026A</t>
        </is>
      </c>
      <c r="C42" s="22" t="n">
        <v>2027</v>
      </c>
      <c r="D42" s="22" t="n">
        <v>2028</v>
      </c>
      <c r="E42" s="22" t="n">
        <v>2029</v>
      </c>
      <c r="F42" s="22" t="n">
        <v>2030</v>
      </c>
      <c r="G42" s="22" t="n">
        <v>2031</v>
      </c>
    </row>
    <row r="43">
      <c r="A43" s="6" t="inlineStr">
        <is>
          <t>Fiscal year end</t>
        </is>
      </c>
      <c r="C43" s="52">
        <f>Inputs!$C$19</f>
        <v/>
      </c>
      <c r="D43" s="52">
        <f>Inputs!$D$19</f>
        <v/>
      </c>
      <c r="E43" s="52">
        <f>Inputs!$E$19</f>
        <v/>
      </c>
      <c r="F43" s="52">
        <f>Inputs!$F$19</f>
        <v/>
      </c>
      <c r="G43" s="52">
        <f>Inputs!$G$19</f>
        <v/>
      </c>
    </row>
    <row r="44">
      <c r="A44" s="6" t="inlineStr">
        <is>
          <t>Years from price date to year end</t>
        </is>
      </c>
      <c r="C44" s="46">
        <f>(C43-Inputs!$B$7)/Inputs!$B$10</f>
        <v/>
      </c>
      <c r="D44" s="46">
        <f>(D43-Inputs!$B$7)/Inputs!$B$10</f>
        <v/>
      </c>
      <c r="E44" s="46">
        <f>(E43-Inputs!$B$7)/Inputs!$B$10</f>
        <v/>
      </c>
      <c r="F44" s="46">
        <f>(F43-Inputs!$B$7)/Inputs!$B$10</f>
        <v/>
      </c>
      <c r="G44" s="46">
        <f>(G43-Inputs!$B$7)/Inputs!$B$10</f>
        <v/>
      </c>
    </row>
    <row r="45">
      <c r="A45" s="6" t="inlineStr">
        <is>
          <t>Previous counted year end</t>
        </is>
      </c>
      <c r="C45" s="46">
        <f>0</f>
        <v/>
      </c>
      <c r="D45" s="46">
        <f>IF(C44&gt;0,C44,0)</f>
        <v/>
      </c>
      <c r="E45" s="46">
        <f>IF(D44&gt;0,D44,0)</f>
        <v/>
      </c>
      <c r="F45" s="46">
        <f>IF(E44&gt;0,E44,0)</f>
        <v/>
      </c>
      <c r="G45" s="46">
        <f>IF(F44&gt;0,F44,0)</f>
        <v/>
      </c>
    </row>
    <row r="46">
      <c r="A46" s="6" t="inlineStr">
        <is>
          <t>Period start</t>
        </is>
      </c>
      <c r="C46" s="46">
        <f>MAX(C45,C44-1)</f>
        <v/>
      </c>
      <c r="D46" s="46">
        <f>MAX(D45,D44-1)</f>
        <v/>
      </c>
      <c r="E46" s="46">
        <f>MAX(E45,E44-1)</f>
        <v/>
      </c>
      <c r="F46" s="46">
        <f>MAX(F45,F44-1)</f>
        <v/>
      </c>
      <c r="G46" s="46">
        <f>MAX(G45,G44-1)</f>
        <v/>
      </c>
    </row>
    <row r="47">
      <c r="A47" s="6" t="inlineStr">
        <is>
          <t>Fraction of the year counted</t>
        </is>
      </c>
      <c r="C47" s="46">
        <f>IF(C44&gt;0,C44-C46,0)</f>
        <v/>
      </c>
      <c r="D47" s="46">
        <f>IF(D44&gt;0,D44-D46,0)</f>
        <v/>
      </c>
      <c r="E47" s="46">
        <f>IF(E44&gt;0,E44-E46,0)</f>
        <v/>
      </c>
      <c r="F47" s="46">
        <f>IF(F44&gt;0,F44-F46,0)</f>
        <v/>
      </c>
      <c r="G47" s="46">
        <f>IF(G44&gt;0,G44-G46,0)</f>
        <v/>
      </c>
    </row>
    <row r="48">
      <c r="A48" s="6" t="inlineStr">
        <is>
          <t>Discount period (mid-point)</t>
        </is>
      </c>
      <c r="C48" s="46">
        <f>(C46+C44)/2</f>
        <v/>
      </c>
      <c r="D48" s="46">
        <f>(D46+D44)/2</f>
        <v/>
      </c>
      <c r="E48" s="46">
        <f>(E46+E44)/2</f>
        <v/>
      </c>
      <c r="F48" s="46">
        <f>(F46+F44)/2</f>
        <v/>
      </c>
      <c r="G48" s="46">
        <f>(G46+G44)/2</f>
        <v/>
      </c>
    </row>
    <row r="49">
      <c r="A49" s="6" t="inlineStr">
        <is>
          <t>Discount factor</t>
        </is>
      </c>
      <c r="C49" s="46">
        <f>(1+'Calc Bull'!$B$38)^-C48</f>
        <v/>
      </c>
      <c r="D49" s="46">
        <f>(1+'Calc Bull'!$B$38)^-D48</f>
        <v/>
      </c>
      <c r="E49" s="46">
        <f>(1+'Calc Bull'!$B$38)^-E48</f>
        <v/>
      </c>
      <c r="F49" s="46">
        <f>(1+'Calc Bull'!$B$38)^-F48</f>
        <v/>
      </c>
      <c r="G49" s="46">
        <f>(1+'Calc Bull'!$B$38)^-G48</f>
        <v/>
      </c>
    </row>
    <row r="50">
      <c r="A50" s="6" t="inlineStr">
        <is>
          <t>PV of counted cash flow</t>
        </is>
      </c>
      <c r="C50" s="48">
        <f>C32*C47*C49</f>
        <v/>
      </c>
      <c r="D50" s="48">
        <f>D32*D47*D49</f>
        <v/>
      </c>
      <c r="E50" s="48">
        <f>E32*E47*E49</f>
        <v/>
      </c>
      <c r="F50" s="48">
        <f>F32*F47*F49</f>
        <v/>
      </c>
      <c r="G50" s="48">
        <f>G32*G47*G49</f>
        <v/>
      </c>
    </row>
    <row r="51">
      <c r="A51" s="6" t="inlineStr">
        <is>
          <t>Sum of PV of cash flows</t>
        </is>
      </c>
      <c r="B51" s="48">
        <f>SUM(C50:G50)</f>
        <v/>
      </c>
    </row>
    <row r="52">
      <c r="A52" s="6" t="inlineStr">
        <is>
          <t>Years to final year end</t>
        </is>
      </c>
      <c r="B52" s="46">
        <f>MAX(G44,0)</f>
        <v/>
      </c>
    </row>
    <row r="53">
      <c r="A53" s="6" t="inlineStr">
        <is>
          <t>Terminal value</t>
        </is>
      </c>
      <c r="B53" s="48">
        <f>IF(Inputs!$B$48="exit_multiple",Inputs!$B$46*'Calc Bull'!$B$8*G20,G32*(1+Inputs!$B$47)/('Calc Bull'!$B$38-Inputs!$B$47))</f>
        <v/>
      </c>
    </row>
    <row r="54">
      <c r="A54" s="6" t="inlineStr">
        <is>
          <t>PV of terminal value</t>
        </is>
      </c>
      <c r="B54" s="48">
        <f>'Calc Bull'!$B$53*(1+'Calc Bull'!$B$38)^-'Calc Bull'!$B$52</f>
        <v/>
      </c>
    </row>
    <row r="55">
      <c r="A55" s="2" t="inlineStr">
        <is>
          <t>Enterprise value</t>
        </is>
      </c>
      <c r="B55" s="49">
        <f>'Calc Bull'!$B$51+'Calc Bull'!$B$54</f>
        <v/>
      </c>
    </row>
    <row r="56">
      <c r="A56" s="6" t="inlineStr">
        <is>
          <t>Equity value</t>
        </is>
      </c>
      <c r="B56" s="48">
        <f>'Calc Bull'!$B$55-Inputs!$B$12</f>
        <v/>
      </c>
    </row>
    <row r="57">
      <c r="A57" s="6" t="inlineStr">
        <is>
          <t>Value per share today (local)</t>
        </is>
      </c>
      <c r="B57" s="32">
        <f>'Calc Bull'!$B$56/Inputs!$B$11</f>
        <v/>
      </c>
    </row>
    <row r="58">
      <c r="A58" s="6" t="inlineStr">
        <is>
          <t>Value per traded unit today</t>
        </is>
      </c>
      <c r="B58" s="32">
        <f>'Calc Bull'!$B$57*Inputs!$B$14/Inputs!$B$15</f>
        <v/>
      </c>
    </row>
    <row r="59">
      <c r="A59" s="6" t="inlineStr">
        <is>
          <t>Terminal value share of EV</t>
        </is>
      </c>
      <c r="B59" s="37">
        <f>'Calc Bull'!$B$54/'Calc Bull'!$B$55</f>
        <v/>
      </c>
    </row>
    <row r="61">
      <c r="A61" s="14" t="inlineStr">
        <is>
          <t>Methods at the target date</t>
        </is>
      </c>
      <c r="B61" s="15" t="n"/>
      <c r="C61" s="15" t="n"/>
      <c r="D61" s="15" t="n"/>
      <c r="E61" s="15" t="n"/>
      <c r="F61" s="15" t="n"/>
      <c r="G61" s="15" t="n"/>
      <c r="H61" s="15" t="n"/>
    </row>
    <row r="62">
      <c r="A62" s="6" t="inlineStr">
        <is>
          <t>Horizon (years)</t>
        </is>
      </c>
      <c r="B62" s="46">
        <f>Inputs!$B$8/Inputs!$B$9</f>
        <v/>
      </c>
    </row>
    <row r="63">
      <c r="A63" s="6" t="inlineStr">
        <is>
          <t>Target date (horizon rounded to whole days, half to even)</t>
        </is>
      </c>
      <c r="B63" s="53">
        <f>Inputs!$B$7+IF(('Calc Bull'!$B$62*Inputs!$B$10-INT('Calc Bull'!$B$62*Inputs!$B$10))*2=1,2*ROUND('Calc Bull'!$B$62*Inputs!$B$10/2,0),ROUND('Calc Bull'!$B$62*Inputs!$B$10,0))</f>
        <v/>
      </c>
    </row>
    <row r="64">
      <c r="A64" s="2" t="inlineStr">
        <is>
          <t>Fiscal year</t>
        </is>
      </c>
      <c r="B64" s="3" t="inlineStr">
        <is>
          <t>FY2026A</t>
        </is>
      </c>
      <c r="C64" s="22" t="n">
        <v>2027</v>
      </c>
      <c r="D64" s="22" t="n">
        <v>2028</v>
      </c>
      <c r="E64" s="22" t="n">
        <v>2029</v>
      </c>
      <c r="F64" s="22" t="n">
        <v>2030</v>
      </c>
      <c r="G64" s="22" t="n">
        <v>2031</v>
      </c>
    </row>
    <row r="65">
      <c r="A65" s="6" t="inlineStr">
        <is>
          <t>NTM weight</t>
        </is>
      </c>
      <c r="C65" s="46">
        <f>IF(C43&gt;='Calc Bull'!$B$63,MIN((C43-'Calc Bull'!$B$63)/Inputs!$B$10,1),0)</f>
        <v/>
      </c>
      <c r="D65" s="46">
        <f>IF(AND(D43&gt;='Calc Bull'!$B$63,C43&lt;'Calc Bull'!$B$63),MIN((D43-'Calc Bull'!$B$63)/Inputs!$B$10,1),IF(C43&gt;='Calc Bull'!$B$63,1-MIN((C43-'Calc Bull'!$B$63)/Inputs!$B$10,1),0))</f>
        <v/>
      </c>
      <c r="E65" s="46">
        <f>IF(AND(E43&gt;='Calc Bull'!$B$63,D43&lt;'Calc Bull'!$B$63),MIN((E43-'Calc Bull'!$B$63)/Inputs!$B$10,1),IF(AND(D43&gt;='Calc Bull'!$B$63,C43&lt;'Calc Bull'!$B$63),1-MIN((D43-'Calc Bull'!$B$63)/Inputs!$B$10,1),0))</f>
        <v/>
      </c>
      <c r="F65" s="46">
        <f>IF(AND(F43&gt;='Calc Bull'!$B$63,E43&lt;'Calc Bull'!$B$63),MIN((F43-'Calc Bull'!$B$63)/Inputs!$B$10,1),IF(AND(E43&gt;='Calc Bull'!$B$63,D43&lt;'Calc Bull'!$B$63),1-MIN((E43-'Calc Bull'!$B$63)/Inputs!$B$10,1),0))</f>
        <v/>
      </c>
      <c r="G65" s="46">
        <f>IF(AND(G43&gt;='Calc Bull'!$B$63,F43&lt;'Calc Bull'!$B$63),0,IF(AND(F43&gt;='Calc Bull'!$B$63,E43&lt;'Calc Bull'!$B$63),1-MIN((F43-'Calc Bull'!$B$63)/Inputs!$B$10,1),0))</f>
        <v/>
      </c>
    </row>
    <row r="66">
      <c r="A66" s="6" t="inlineStr">
        <is>
          <t>NTM EPS at target</t>
        </is>
      </c>
      <c r="B66" s="32">
        <f>C65*C30+D65*D30+E65*E30+F65*F30+G65*G30</f>
        <v/>
      </c>
    </row>
    <row r="67">
      <c r="A67" s="6" t="inlineStr">
        <is>
          <t>NTM EBITDA at target</t>
        </is>
      </c>
      <c r="B67" s="48">
        <f>C65*C20+D65*D20+E65*E20+F65*F20+G65*G20</f>
        <v/>
      </c>
    </row>
    <row r="68">
      <c r="A68" s="6" t="inlineStr">
        <is>
          <t>DCF (rolled to target date, less dividends)</t>
        </is>
      </c>
      <c r="B68" s="32">
        <f>'Calc Bull'!$B$58*(1+'Calc Bull'!$B$39)^'Calc Bull'!$B$62-Inputs!$B$13*'Calc Bull'!$B$62</f>
        <v/>
      </c>
    </row>
    <row r="69">
      <c r="A69" s="6" t="inlineStr">
        <is>
          <t>P/E x NTM EPS</t>
        </is>
      </c>
      <c r="B69" s="32">
        <f>Inputs!$B$51*'Calc Bull'!$B$8*'Calc Bull'!$B$66*Inputs!$B$14/Inputs!$B$15</f>
        <v/>
      </c>
    </row>
    <row r="70">
      <c r="A70" s="6" t="inlineStr">
        <is>
          <t>EV/EBITDA x NTM EBITDA, less net debt</t>
        </is>
      </c>
      <c r="B70" s="32">
        <f>(Inputs!$B$52*'Calc Bull'!$B$8*'Calc Bull'!$B$67-Inputs!$B$12)/Inputs!$B$11*Inputs!$B$14/Inputs!$B$15</f>
        <v/>
      </c>
    </row>
    <row r="71">
      <c r="A71" s="2" t="inlineStr">
        <is>
          <t>Price target (weighted)</t>
        </is>
      </c>
      <c r="B71" s="35">
        <f>IF(Inputs!$B$55+Inputs!$B$56+Inputs!$B$57=0,'Calc Bull'!$B$68,('Calc Bull'!$B$68*Inputs!$B$55+'Calc Bull'!$B$69*Inputs!$B$56+'Calc Bull'!$B$70*Inputs!$B$57)/(Inputs!$B$55+Inputs!$B$56+Inputs!$B$57))</f>
        <v/>
      </c>
    </row>
    <row r="72">
      <c r="A72" s="6" t="inlineStr">
        <is>
          <t>Weight used: dcf</t>
        </is>
      </c>
      <c r="B72" s="37">
        <f>IF(Inputs!$B$55+Inputs!$B$56+Inputs!$B$57=0,IF("dcf"="dcf",1,0),Inputs!$B$55/(Inputs!$B$55+Inputs!$B$56+Inputs!$B$57))</f>
        <v/>
      </c>
    </row>
    <row r="73">
      <c r="A73" s="6" t="inlineStr">
        <is>
          <t>Weight used: pe</t>
        </is>
      </c>
      <c r="B73" s="37">
        <f>IF(Inputs!$B$55+Inputs!$B$56+Inputs!$B$57=0,IF("pe"="dcf",1,0),Inputs!$B$56/(Inputs!$B$55+Inputs!$B$56+Inputs!$B$57))</f>
        <v/>
      </c>
    </row>
    <row r="74">
      <c r="A74" s="6" t="inlineStr">
        <is>
          <t>Weight used: ev_ebitda</t>
        </is>
      </c>
      <c r="B74" s="37">
        <f>IF(Inputs!$B$55+Inputs!$B$56+Inputs!$B$57=0,IF("ev_ebitda"="dcf",1,0),Inputs!$B$57/(Inputs!$B$55+Inputs!$B$56+Inputs!$B$57))</f>
        <v/>
      </c>
    </row>
    <row r="75">
      <c r="A75" s="6" t="inlineStr">
        <is>
          <t>Price return</t>
        </is>
      </c>
      <c r="B75" s="37">
        <f>'Calc Bull'!$B$71/Inputs!$B$6-1</f>
        <v/>
      </c>
    </row>
    <row r="76">
      <c r="A76" s="2" t="inlineStr">
        <is>
          <t>Total return (incl. dividends)</t>
        </is>
      </c>
      <c r="B76" s="40">
        <f>'Calc Bull'!$B$75+Inputs!$B$13*'Calc Bull'!$B$62/Inputs!$B$6</f>
        <v/>
      </c>
    </row>
    <row r="77">
      <c r="A77" s="6" t="inlineStr">
        <is>
          <t>Cost of equity used for the roll-forward</t>
        </is>
      </c>
      <c r="B77" s="37">
        <f>'Calc Bull'!$B$39</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7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8" customWidth="1" min="1" max="1"/>
    <col width="16" customWidth="1" min="2" max="2"/>
    <col width="14" customWidth="1" min="3" max="3"/>
    <col width="14" customWidth="1" min="4" max="4"/>
    <col width="14" customWidth="1" min="5" max="5"/>
    <col width="14" customWidth="1" min="6" max="6"/>
    <col width="14" customWidth="1" min="7" max="7"/>
    <col width="90" customWidth="1" min="8" max="8"/>
  </cols>
  <sheetData>
    <row r="1">
      <c r="A1" s="1" t="inlineStr">
        <is>
          <t>MU bear case: calculations</t>
        </is>
      </c>
    </row>
    <row r="2">
      <c r="A2" t="inlineStr">
        <is>
          <t>All formulas. Inputs live on the Inputs tab.</t>
        </is>
      </c>
    </row>
    <row r="5">
      <c r="A5" s="14" t="inlineStr">
        <is>
          <t>Scenario</t>
        </is>
      </c>
      <c r="B5" s="15" t="n"/>
      <c r="C5" s="15" t="n"/>
      <c r="D5" s="15" t="n"/>
      <c r="E5" s="15" t="n"/>
      <c r="F5" s="15" t="n"/>
      <c r="G5" s="15" t="n"/>
      <c r="H5" s="15" t="n"/>
    </row>
    <row r="6">
      <c r="A6" s="6" t="inlineStr">
        <is>
          <t>Growth delta</t>
        </is>
      </c>
      <c r="B6" s="37">
        <f>Inputs!$B$65</f>
        <v/>
      </c>
    </row>
    <row r="7">
      <c r="A7" s="6" t="inlineStr">
        <is>
          <t>Margin delta (by final year)</t>
        </is>
      </c>
      <c r="B7" s="37">
        <f>Inputs!$C$65</f>
        <v/>
      </c>
    </row>
    <row r="8">
      <c r="A8" s="6" t="inlineStr">
        <is>
          <t>Multiple factor</t>
        </is>
      </c>
      <c r="B8" s="46">
        <f>1+Inputs!$D$65</f>
        <v/>
      </c>
    </row>
    <row r="9">
      <c r="A9" s="6" t="inlineStr">
        <is>
          <t>WACC delta</t>
        </is>
      </c>
      <c r="B9" s="37">
        <f>Inputs!$E$65</f>
        <v/>
      </c>
    </row>
    <row r="11">
      <c r="A11" s="14" t="inlineStr">
        <is>
          <t>Projections</t>
        </is>
      </c>
      <c r="B11" s="15" t="n"/>
      <c r="C11" s="15" t="n"/>
      <c r="D11" s="15" t="n"/>
      <c r="E11" s="15" t="n"/>
      <c r="F11" s="15" t="n"/>
      <c r="G11" s="15" t="n"/>
      <c r="H11" s="15" t="n"/>
    </row>
    <row r="12">
      <c r="A12" s="2" t="inlineStr">
        <is>
          <t>Fiscal year</t>
        </is>
      </c>
      <c r="B12" s="3" t="inlineStr">
        <is>
          <t>FY2026A</t>
        </is>
      </c>
      <c r="C12" s="22" t="n">
        <v>2027</v>
      </c>
      <c r="D12" s="22" t="n">
        <v>2028</v>
      </c>
      <c r="E12" s="22" t="n">
        <v>2029</v>
      </c>
      <c r="F12" s="22" t="n">
        <v>2030</v>
      </c>
      <c r="G12" s="22" t="n">
        <v>2031</v>
      </c>
    </row>
    <row r="13">
      <c r="A13" s="6" t="inlineStr">
        <is>
          <t>Projection year</t>
        </is>
      </c>
      <c r="C13" s="26">
        <f>1</f>
        <v/>
      </c>
      <c r="D13" s="26">
        <f>C13+1</f>
        <v/>
      </c>
      <c r="E13" s="26">
        <f>D13+1</f>
        <v/>
      </c>
      <c r="F13" s="26">
        <f>E13+1</f>
        <v/>
      </c>
      <c r="G13" s="26">
        <f>F13+1</f>
        <v/>
      </c>
    </row>
    <row r="14">
      <c r="A14" s="6" t="inlineStr">
        <is>
          <t>Total: growth</t>
        </is>
      </c>
      <c r="C14" s="37">
        <f>Inputs!$C$66+'Calc Bear'!$B$6</f>
        <v/>
      </c>
      <c r="D14" s="37">
        <f>Inputs!$D$66+'Calc Bear'!$B$6</f>
        <v/>
      </c>
      <c r="E14" s="37">
        <f>Inputs!$E$66+'Calc Bear'!$B$6</f>
        <v/>
      </c>
      <c r="F14" s="37">
        <f>Inputs!$F$66+'Calc Bear'!$B$6</f>
        <v/>
      </c>
      <c r="G14" s="37">
        <f>Inputs!$G$66+'Calc Bear'!$B$6</f>
        <v/>
      </c>
    </row>
    <row r="15">
      <c r="A15" s="6" t="inlineStr">
        <is>
          <t>Total: revenue</t>
        </is>
      </c>
      <c r="B15" s="47">
        <f>Inputs!$B$23</f>
        <v/>
      </c>
      <c r="C15" s="48">
        <f>B15*(1+C14)</f>
        <v/>
      </c>
      <c r="D15" s="48">
        <f>C15*(1+D14)</f>
        <v/>
      </c>
      <c r="E15" s="48">
        <f>D15*(1+E14)</f>
        <v/>
      </c>
      <c r="F15" s="48">
        <f>E15*(1+F14)</f>
        <v/>
      </c>
      <c r="G15" s="48">
        <f>F15*(1+G14)</f>
        <v/>
      </c>
    </row>
    <row r="16">
      <c r="A16" s="2" t="inlineStr">
        <is>
          <t>Revenue</t>
        </is>
      </c>
      <c r="B16" s="48">
        <f>B15</f>
        <v/>
      </c>
      <c r="C16" s="49">
        <f>C15</f>
        <v/>
      </c>
      <c r="D16" s="49">
        <f>D15</f>
        <v/>
      </c>
      <c r="E16" s="49">
        <f>E15</f>
        <v/>
      </c>
      <c r="F16" s="49">
        <f>F15</f>
        <v/>
      </c>
      <c r="G16" s="49">
        <f>G15</f>
        <v/>
      </c>
    </row>
    <row r="17">
      <c r="A17" s="6" t="inlineStr">
        <is>
          <t>Revenue growth</t>
        </is>
      </c>
      <c r="C17" s="37">
        <f>C16/B16-1</f>
        <v/>
      </c>
      <c r="D17" s="37">
        <f>D16/C16-1</f>
        <v/>
      </c>
      <c r="E17" s="37">
        <f>E16/D16-1</f>
        <v/>
      </c>
      <c r="F17" s="37">
        <f>F16/E16-1</f>
        <v/>
      </c>
      <c r="G17" s="37">
        <f>G16/F16-1</f>
        <v/>
      </c>
    </row>
    <row r="18">
      <c r="A18" s="6" t="inlineStr">
        <is>
          <t>Margin delta ramp</t>
        </is>
      </c>
      <c r="C18" s="37">
        <f>C13/$G$13</f>
        <v/>
      </c>
      <c r="D18" s="37">
        <f>D13/$G$13</f>
        <v/>
      </c>
      <c r="E18" s="37">
        <f>E13/$G$13</f>
        <v/>
      </c>
      <c r="F18" s="37">
        <f>F13/$G$13</f>
        <v/>
      </c>
      <c r="G18" s="37">
        <f>G13/$G$13</f>
        <v/>
      </c>
    </row>
    <row r="19">
      <c r="A19" s="6" t="inlineStr">
        <is>
          <t>EBITDA margin</t>
        </is>
      </c>
      <c r="C19" s="37">
        <f>Inputs!$C$27+'Calc Bear'!$B$7*C18</f>
        <v/>
      </c>
      <c r="D19" s="37">
        <f>Inputs!$D$27+'Calc Bear'!$B$7*D18</f>
        <v/>
      </c>
      <c r="E19" s="37">
        <f>Inputs!$E$27+'Calc Bear'!$B$7*E18</f>
        <v/>
      </c>
      <c r="F19" s="37">
        <f>Inputs!$F$27+'Calc Bear'!$B$7*F18</f>
        <v/>
      </c>
      <c r="G19" s="37">
        <f>Inputs!$G$27+'Calc Bear'!$B$7*G18</f>
        <v/>
      </c>
    </row>
    <row r="20">
      <c r="A20" s="6" t="inlineStr">
        <is>
          <t>EBITDA</t>
        </is>
      </c>
      <c r="C20" s="48">
        <f>C16*C19</f>
        <v/>
      </c>
      <c r="D20" s="48">
        <f>D16*D19</f>
        <v/>
      </c>
      <c r="E20" s="48">
        <f>E16*E19</f>
        <v/>
      </c>
      <c r="F20" s="48">
        <f>F16*F19</f>
        <v/>
      </c>
      <c r="G20" s="48">
        <f>G16*G19</f>
        <v/>
      </c>
    </row>
    <row r="21">
      <c r="A21" s="6" t="inlineStr">
        <is>
          <t>CapEx</t>
        </is>
      </c>
      <c r="C21" s="48">
        <f>C16*Inputs!$C$28</f>
        <v/>
      </c>
      <c r="D21" s="48">
        <f>D16*Inputs!$D$28</f>
        <v/>
      </c>
      <c r="E21" s="48">
        <f>E16*Inputs!$E$28</f>
        <v/>
      </c>
      <c r="F21" s="48">
        <f>F16*Inputs!$F$28</f>
        <v/>
      </c>
      <c r="G21" s="48">
        <f>G16*Inputs!$G$28</f>
        <v/>
      </c>
    </row>
    <row r="22">
      <c r="A22" s="6" t="inlineStr">
        <is>
          <t>Net PP&amp;E, opening</t>
        </is>
      </c>
      <c r="C22" s="47">
        <f>Inputs!$B$33</f>
        <v/>
      </c>
      <c r="D22" s="48">
        <f>C24</f>
        <v/>
      </c>
      <c r="E22" s="48">
        <f>D24</f>
        <v/>
      </c>
      <c r="F22" s="48">
        <f>E24</f>
        <v/>
      </c>
      <c r="G22" s="48">
        <f>F24</f>
        <v/>
      </c>
    </row>
    <row r="23">
      <c r="A23" s="6" t="inlineStr">
        <is>
          <t>D&amp;A (opening PP&amp;E + half of CapEx) / life</t>
        </is>
      </c>
      <c r="C23" s="48">
        <f>(C22+C21/2)/Inputs!$B$34</f>
        <v/>
      </c>
      <c r="D23" s="48">
        <f>(D22+D21/2)/Inputs!$B$34</f>
        <v/>
      </c>
      <c r="E23" s="48">
        <f>(E22+E21/2)/Inputs!$B$34</f>
        <v/>
      </c>
      <c r="F23" s="48">
        <f>(F22+F21/2)/Inputs!$B$34</f>
        <v/>
      </c>
      <c r="G23" s="48">
        <f>(G22+G21/2)/Inputs!$B$34</f>
        <v/>
      </c>
    </row>
    <row r="24">
      <c r="A24" s="6" t="inlineStr">
        <is>
          <t>Net PP&amp;E, closing</t>
        </is>
      </c>
      <c r="C24" s="48">
        <f>C22+C21-C23</f>
        <v/>
      </c>
      <c r="D24" s="48">
        <f>D22+D21-D23</f>
        <v/>
      </c>
      <c r="E24" s="48">
        <f>E22+E21-E23</f>
        <v/>
      </c>
      <c r="F24" s="48">
        <f>F22+F21-F23</f>
        <v/>
      </c>
      <c r="G24" s="48">
        <f>G22+G21-G23</f>
        <v/>
      </c>
    </row>
    <row r="25">
      <c r="A25" s="6" t="inlineStr">
        <is>
          <t>EBIT</t>
        </is>
      </c>
      <c r="C25" s="48">
        <f>C20-C23</f>
        <v/>
      </c>
      <c r="D25" s="48">
        <f>D20-D23</f>
        <v/>
      </c>
      <c r="E25" s="48">
        <f>E20-E23</f>
        <v/>
      </c>
      <c r="F25" s="48">
        <f>F20-F23</f>
        <v/>
      </c>
      <c r="G25" s="48">
        <f>G20-G23</f>
        <v/>
      </c>
    </row>
    <row r="26">
      <c r="A26" s="6" t="inlineStr">
        <is>
          <t>Other income</t>
        </is>
      </c>
      <c r="C26" s="48">
        <f>C16*Inputs!$C$30</f>
        <v/>
      </c>
      <c r="D26" s="48">
        <f>D16*Inputs!$D$30</f>
        <v/>
      </c>
      <c r="E26" s="48">
        <f>E16*Inputs!$E$30</f>
        <v/>
      </c>
      <c r="F26" s="48">
        <f>F16*Inputs!$F$30</f>
        <v/>
      </c>
      <c r="G26" s="48">
        <f>G16*Inputs!$G$30</f>
        <v/>
      </c>
    </row>
    <row r="27">
      <c r="A27" s="6" t="inlineStr">
        <is>
          <t>Pre-tax income</t>
        </is>
      </c>
      <c r="C27" s="48">
        <f>C25+C26</f>
        <v/>
      </c>
      <c r="D27" s="48">
        <f>D25+D26</f>
        <v/>
      </c>
      <c r="E27" s="48">
        <f>E25+E26</f>
        <v/>
      </c>
      <c r="F27" s="48">
        <f>F25+F26</f>
        <v/>
      </c>
      <c r="G27" s="48">
        <f>G25+G26</f>
        <v/>
      </c>
    </row>
    <row r="28">
      <c r="A28" s="6" t="inlineStr">
        <is>
          <t>Net income</t>
        </is>
      </c>
      <c r="C28" s="48">
        <f>C27*(1-Inputs!$C$29)</f>
        <v/>
      </c>
      <c r="D28" s="48">
        <f>D27*(1-Inputs!$D$29)</f>
        <v/>
      </c>
      <c r="E28" s="48">
        <f>E27*(1-Inputs!$E$29)</f>
        <v/>
      </c>
      <c r="F28" s="48">
        <f>F27*(1-Inputs!$F$29)</f>
        <v/>
      </c>
      <c r="G28" s="48">
        <f>G27*(1-Inputs!$G$29)</f>
        <v/>
      </c>
    </row>
    <row r="29">
      <c r="A29" s="6" t="inlineStr">
        <is>
          <t>Diluted shares</t>
        </is>
      </c>
      <c r="B29" s="50">
        <f>Inputs!$B$11</f>
        <v/>
      </c>
      <c r="C29" s="51">
        <f>B29*(1+Inputs!$C$31)</f>
        <v/>
      </c>
      <c r="D29" s="51">
        <f>C29*(1+Inputs!$D$31)</f>
        <v/>
      </c>
      <c r="E29" s="51">
        <f>D29*(1+Inputs!$E$31)</f>
        <v/>
      </c>
      <c r="F29" s="51">
        <f>E29*(1+Inputs!$F$31)</f>
        <v/>
      </c>
      <c r="G29" s="51">
        <f>F29*(1+Inputs!$G$31)</f>
        <v/>
      </c>
    </row>
    <row r="30">
      <c r="A30" s="6" t="inlineStr">
        <is>
          <t>EPS</t>
        </is>
      </c>
      <c r="C30" s="32">
        <f>C28/C29</f>
        <v/>
      </c>
      <c r="D30" s="32">
        <f>D28/D29</f>
        <v/>
      </c>
      <c r="E30" s="32">
        <f>E28/E29</f>
        <v/>
      </c>
      <c r="F30" s="32">
        <f>F28/F29</f>
        <v/>
      </c>
      <c r="G30" s="32">
        <f>G28/G29</f>
        <v/>
      </c>
    </row>
    <row r="31">
      <c r="A31" s="6" t="inlineStr">
        <is>
          <t>Change in NWC</t>
        </is>
      </c>
      <c r="C31" s="48">
        <f>(C16-B16)*Inputs!$C$32</f>
        <v/>
      </c>
      <c r="D31" s="48">
        <f>(D16-C16)*Inputs!$D$32</f>
        <v/>
      </c>
      <c r="E31" s="48">
        <f>(E16-D16)*Inputs!$E$32</f>
        <v/>
      </c>
      <c r="F31" s="48">
        <f>(F16-E16)*Inputs!$F$32</f>
        <v/>
      </c>
      <c r="G31" s="48">
        <f>(G16-F16)*Inputs!$G$32</f>
        <v/>
      </c>
    </row>
    <row r="32">
      <c r="A32" s="2" t="inlineStr">
        <is>
          <t>Unlevered free cash flow</t>
        </is>
      </c>
      <c r="C32" s="49">
        <f>C25*(1-Inputs!$C$29)+C23-C21-C31</f>
        <v/>
      </c>
      <c r="D32" s="49">
        <f>D25*(1-Inputs!$D$29)+D23-D21-D31</f>
        <v/>
      </c>
      <c r="E32" s="49">
        <f>E25*(1-Inputs!$E$29)+E23-E21-E31</f>
        <v/>
      </c>
      <c r="F32" s="49">
        <f>F25*(1-Inputs!$F$29)+F23-F21-F31</f>
        <v/>
      </c>
      <c r="G32" s="49">
        <f>G25*(1-Inputs!$G$29)+G23-G21-G31</f>
        <v/>
      </c>
    </row>
    <row r="34">
      <c r="A34" s="14" t="inlineStr">
        <is>
          <t>Cost of capital</t>
        </is>
      </c>
      <c r="B34" s="15" t="n"/>
      <c r="C34" s="15" t="n"/>
      <c r="D34" s="15" t="n"/>
      <c r="E34" s="15" t="n"/>
      <c r="F34" s="15" t="n"/>
      <c r="G34" s="15" t="n"/>
      <c r="H34" s="15" t="n"/>
    </row>
    <row r="35">
      <c r="A35" s="6" t="inlineStr">
        <is>
          <t>Cost of equity (CAPM)</t>
        </is>
      </c>
      <c r="B35" s="37">
        <f>Inputs!$B$37+Inputs!$B$38*Inputs!$B$39</f>
        <v/>
      </c>
    </row>
    <row r="36">
      <c r="A36" s="6" t="inlineStr">
        <is>
          <t>After-tax cost of debt</t>
        </is>
      </c>
      <c r="B36" s="37">
        <f>Inputs!$B$40*(1-Inputs!$B$41)</f>
        <v/>
      </c>
    </row>
    <row r="37">
      <c r="A37" s="6" t="inlineStr">
        <is>
          <t>Equity weight</t>
        </is>
      </c>
      <c r="B37" s="37">
        <f>IF(Inputs!$B$42+Inputs!$B$43=0,1,Inputs!$B$42/(Inputs!$B$42+Inputs!$B$43))</f>
        <v/>
      </c>
    </row>
    <row r="38">
      <c r="A38" s="2" t="inlineStr">
        <is>
          <t>WACC</t>
        </is>
      </c>
      <c r="B38" s="40">
        <f>'Calc Bear'!$B$37*'Calc Bear'!$B$35+(1-'Calc Bear'!$B$37)*'Calc Bear'!$B$36+'Calc Bear'!$B$9</f>
        <v/>
      </c>
    </row>
    <row r="39">
      <c r="A39" s="6" t="inlineStr">
        <is>
          <t>Cost of equity (scenario)</t>
        </is>
      </c>
      <c r="B39" s="37">
        <f>'Calc Bear'!$B$35+'Calc Bear'!$B$9</f>
        <v/>
      </c>
    </row>
    <row r="41">
      <c r="A41" s="14" t="inlineStr">
        <is>
          <t>DCF (stub year counted pro rata, mid-period discounting)</t>
        </is>
      </c>
      <c r="B41" s="15" t="n"/>
      <c r="C41" s="15" t="n"/>
      <c r="D41" s="15" t="n"/>
      <c r="E41" s="15" t="n"/>
      <c r="F41" s="15" t="n"/>
      <c r="G41" s="15" t="n"/>
      <c r="H41" s="15" t="n"/>
    </row>
    <row r="42">
      <c r="A42" s="2" t="inlineStr">
        <is>
          <t>Fiscal year</t>
        </is>
      </c>
      <c r="B42" s="3" t="inlineStr">
        <is>
          <t>FY2026A</t>
        </is>
      </c>
      <c r="C42" s="22" t="n">
        <v>2027</v>
      </c>
      <c r="D42" s="22" t="n">
        <v>2028</v>
      </c>
      <c r="E42" s="22" t="n">
        <v>2029</v>
      </c>
      <c r="F42" s="22" t="n">
        <v>2030</v>
      </c>
      <c r="G42" s="22" t="n">
        <v>2031</v>
      </c>
    </row>
    <row r="43">
      <c r="A43" s="6" t="inlineStr">
        <is>
          <t>Fiscal year end</t>
        </is>
      </c>
      <c r="C43" s="52">
        <f>Inputs!$C$19</f>
        <v/>
      </c>
      <c r="D43" s="52">
        <f>Inputs!$D$19</f>
        <v/>
      </c>
      <c r="E43" s="52">
        <f>Inputs!$E$19</f>
        <v/>
      </c>
      <c r="F43" s="52">
        <f>Inputs!$F$19</f>
        <v/>
      </c>
      <c r="G43" s="52">
        <f>Inputs!$G$19</f>
        <v/>
      </c>
    </row>
    <row r="44">
      <c r="A44" s="6" t="inlineStr">
        <is>
          <t>Years from price date to year end</t>
        </is>
      </c>
      <c r="C44" s="46">
        <f>(C43-Inputs!$B$7)/Inputs!$B$10</f>
        <v/>
      </c>
      <c r="D44" s="46">
        <f>(D43-Inputs!$B$7)/Inputs!$B$10</f>
        <v/>
      </c>
      <c r="E44" s="46">
        <f>(E43-Inputs!$B$7)/Inputs!$B$10</f>
        <v/>
      </c>
      <c r="F44" s="46">
        <f>(F43-Inputs!$B$7)/Inputs!$B$10</f>
        <v/>
      </c>
      <c r="G44" s="46">
        <f>(G43-Inputs!$B$7)/Inputs!$B$10</f>
        <v/>
      </c>
    </row>
    <row r="45">
      <c r="A45" s="6" t="inlineStr">
        <is>
          <t>Previous counted year end</t>
        </is>
      </c>
      <c r="C45" s="46">
        <f>0</f>
        <v/>
      </c>
      <c r="D45" s="46">
        <f>IF(C44&gt;0,C44,0)</f>
        <v/>
      </c>
      <c r="E45" s="46">
        <f>IF(D44&gt;0,D44,0)</f>
        <v/>
      </c>
      <c r="F45" s="46">
        <f>IF(E44&gt;0,E44,0)</f>
        <v/>
      </c>
      <c r="G45" s="46">
        <f>IF(F44&gt;0,F44,0)</f>
        <v/>
      </c>
    </row>
    <row r="46">
      <c r="A46" s="6" t="inlineStr">
        <is>
          <t>Period start</t>
        </is>
      </c>
      <c r="C46" s="46">
        <f>MAX(C45,C44-1)</f>
        <v/>
      </c>
      <c r="D46" s="46">
        <f>MAX(D45,D44-1)</f>
        <v/>
      </c>
      <c r="E46" s="46">
        <f>MAX(E45,E44-1)</f>
        <v/>
      </c>
      <c r="F46" s="46">
        <f>MAX(F45,F44-1)</f>
        <v/>
      </c>
      <c r="G46" s="46">
        <f>MAX(G45,G44-1)</f>
        <v/>
      </c>
    </row>
    <row r="47">
      <c r="A47" s="6" t="inlineStr">
        <is>
          <t>Fraction of the year counted</t>
        </is>
      </c>
      <c r="C47" s="46">
        <f>IF(C44&gt;0,C44-C46,0)</f>
        <v/>
      </c>
      <c r="D47" s="46">
        <f>IF(D44&gt;0,D44-D46,0)</f>
        <v/>
      </c>
      <c r="E47" s="46">
        <f>IF(E44&gt;0,E44-E46,0)</f>
        <v/>
      </c>
      <c r="F47" s="46">
        <f>IF(F44&gt;0,F44-F46,0)</f>
        <v/>
      </c>
      <c r="G47" s="46">
        <f>IF(G44&gt;0,G44-G46,0)</f>
        <v/>
      </c>
    </row>
    <row r="48">
      <c r="A48" s="6" t="inlineStr">
        <is>
          <t>Discount period (mid-point)</t>
        </is>
      </c>
      <c r="C48" s="46">
        <f>(C46+C44)/2</f>
        <v/>
      </c>
      <c r="D48" s="46">
        <f>(D46+D44)/2</f>
        <v/>
      </c>
      <c r="E48" s="46">
        <f>(E46+E44)/2</f>
        <v/>
      </c>
      <c r="F48" s="46">
        <f>(F46+F44)/2</f>
        <v/>
      </c>
      <c r="G48" s="46">
        <f>(G46+G44)/2</f>
        <v/>
      </c>
    </row>
    <row r="49">
      <c r="A49" s="6" t="inlineStr">
        <is>
          <t>Discount factor</t>
        </is>
      </c>
      <c r="C49" s="46">
        <f>(1+'Calc Bear'!$B$38)^-C48</f>
        <v/>
      </c>
      <c r="D49" s="46">
        <f>(1+'Calc Bear'!$B$38)^-D48</f>
        <v/>
      </c>
      <c r="E49" s="46">
        <f>(1+'Calc Bear'!$B$38)^-E48</f>
        <v/>
      </c>
      <c r="F49" s="46">
        <f>(1+'Calc Bear'!$B$38)^-F48</f>
        <v/>
      </c>
      <c r="G49" s="46">
        <f>(1+'Calc Bear'!$B$38)^-G48</f>
        <v/>
      </c>
    </row>
    <row r="50">
      <c r="A50" s="6" t="inlineStr">
        <is>
          <t>PV of counted cash flow</t>
        </is>
      </c>
      <c r="C50" s="48">
        <f>C32*C47*C49</f>
        <v/>
      </c>
      <c r="D50" s="48">
        <f>D32*D47*D49</f>
        <v/>
      </c>
      <c r="E50" s="48">
        <f>E32*E47*E49</f>
        <v/>
      </c>
      <c r="F50" s="48">
        <f>F32*F47*F49</f>
        <v/>
      </c>
      <c r="G50" s="48">
        <f>G32*G47*G49</f>
        <v/>
      </c>
    </row>
    <row r="51">
      <c r="A51" s="6" t="inlineStr">
        <is>
          <t>Sum of PV of cash flows</t>
        </is>
      </c>
      <c r="B51" s="48">
        <f>SUM(C50:G50)</f>
        <v/>
      </c>
    </row>
    <row r="52">
      <c r="A52" s="6" t="inlineStr">
        <is>
          <t>Years to final year end</t>
        </is>
      </c>
      <c r="B52" s="46">
        <f>MAX(G44,0)</f>
        <v/>
      </c>
    </row>
    <row r="53">
      <c r="A53" s="6" t="inlineStr">
        <is>
          <t>Terminal value</t>
        </is>
      </c>
      <c r="B53" s="48">
        <f>IF(Inputs!$B$48="exit_multiple",Inputs!$B$46*'Calc Bear'!$B$8*G20,G32*(1+Inputs!$B$47)/('Calc Bear'!$B$38-Inputs!$B$47))</f>
        <v/>
      </c>
    </row>
    <row r="54">
      <c r="A54" s="6" t="inlineStr">
        <is>
          <t>PV of terminal value</t>
        </is>
      </c>
      <c r="B54" s="48">
        <f>'Calc Bear'!$B$53*(1+'Calc Bear'!$B$38)^-'Calc Bear'!$B$52</f>
        <v/>
      </c>
    </row>
    <row r="55">
      <c r="A55" s="2" t="inlineStr">
        <is>
          <t>Enterprise value</t>
        </is>
      </c>
      <c r="B55" s="49">
        <f>'Calc Bear'!$B$51+'Calc Bear'!$B$54</f>
        <v/>
      </c>
    </row>
    <row r="56">
      <c r="A56" s="6" t="inlineStr">
        <is>
          <t>Equity value</t>
        </is>
      </c>
      <c r="B56" s="48">
        <f>'Calc Bear'!$B$55-Inputs!$B$12</f>
        <v/>
      </c>
    </row>
    <row r="57">
      <c r="A57" s="6" t="inlineStr">
        <is>
          <t>Value per share today (local)</t>
        </is>
      </c>
      <c r="B57" s="32">
        <f>'Calc Bear'!$B$56/Inputs!$B$11</f>
        <v/>
      </c>
    </row>
    <row r="58">
      <c r="A58" s="6" t="inlineStr">
        <is>
          <t>Value per traded unit today</t>
        </is>
      </c>
      <c r="B58" s="32">
        <f>'Calc Bear'!$B$57*Inputs!$B$14/Inputs!$B$15</f>
        <v/>
      </c>
    </row>
    <row r="59">
      <c r="A59" s="6" t="inlineStr">
        <is>
          <t>Terminal value share of EV</t>
        </is>
      </c>
      <c r="B59" s="37">
        <f>'Calc Bear'!$B$54/'Calc Bear'!$B$55</f>
        <v/>
      </c>
    </row>
    <row r="61">
      <c r="A61" s="14" t="inlineStr">
        <is>
          <t>Methods at the target date</t>
        </is>
      </c>
      <c r="B61" s="15" t="n"/>
      <c r="C61" s="15" t="n"/>
      <c r="D61" s="15" t="n"/>
      <c r="E61" s="15" t="n"/>
      <c r="F61" s="15" t="n"/>
      <c r="G61" s="15" t="n"/>
      <c r="H61" s="15" t="n"/>
    </row>
    <row r="62">
      <c r="A62" s="6" t="inlineStr">
        <is>
          <t>Horizon (years)</t>
        </is>
      </c>
      <c r="B62" s="46">
        <f>Inputs!$B$8/Inputs!$B$9</f>
        <v/>
      </c>
    </row>
    <row r="63">
      <c r="A63" s="6" t="inlineStr">
        <is>
          <t>Target date (horizon rounded to whole days, half to even)</t>
        </is>
      </c>
      <c r="B63" s="53">
        <f>Inputs!$B$7+IF(('Calc Bear'!$B$62*Inputs!$B$10-INT('Calc Bear'!$B$62*Inputs!$B$10))*2=1,2*ROUND('Calc Bear'!$B$62*Inputs!$B$10/2,0),ROUND('Calc Bear'!$B$62*Inputs!$B$10,0))</f>
        <v/>
      </c>
    </row>
    <row r="64">
      <c r="A64" s="2" t="inlineStr">
        <is>
          <t>Fiscal year</t>
        </is>
      </c>
      <c r="B64" s="3" t="inlineStr">
        <is>
          <t>FY2026A</t>
        </is>
      </c>
      <c r="C64" s="22" t="n">
        <v>2027</v>
      </c>
      <c r="D64" s="22" t="n">
        <v>2028</v>
      </c>
      <c r="E64" s="22" t="n">
        <v>2029</v>
      </c>
      <c r="F64" s="22" t="n">
        <v>2030</v>
      </c>
      <c r="G64" s="22" t="n">
        <v>2031</v>
      </c>
    </row>
    <row r="65">
      <c r="A65" s="6" t="inlineStr">
        <is>
          <t>NTM weight</t>
        </is>
      </c>
      <c r="C65" s="46">
        <f>IF(C43&gt;='Calc Bear'!$B$63,MIN((C43-'Calc Bear'!$B$63)/Inputs!$B$10,1),0)</f>
        <v/>
      </c>
      <c r="D65" s="46">
        <f>IF(AND(D43&gt;='Calc Bear'!$B$63,C43&lt;'Calc Bear'!$B$63),MIN((D43-'Calc Bear'!$B$63)/Inputs!$B$10,1),IF(C43&gt;='Calc Bear'!$B$63,1-MIN((C43-'Calc Bear'!$B$63)/Inputs!$B$10,1),0))</f>
        <v/>
      </c>
      <c r="E65" s="46">
        <f>IF(AND(E43&gt;='Calc Bear'!$B$63,D43&lt;'Calc Bear'!$B$63),MIN((E43-'Calc Bear'!$B$63)/Inputs!$B$10,1),IF(AND(D43&gt;='Calc Bear'!$B$63,C43&lt;'Calc Bear'!$B$63),1-MIN((D43-'Calc Bear'!$B$63)/Inputs!$B$10,1),0))</f>
        <v/>
      </c>
      <c r="F65" s="46">
        <f>IF(AND(F43&gt;='Calc Bear'!$B$63,E43&lt;'Calc Bear'!$B$63),MIN((F43-'Calc Bear'!$B$63)/Inputs!$B$10,1),IF(AND(E43&gt;='Calc Bear'!$B$63,D43&lt;'Calc Bear'!$B$63),1-MIN((E43-'Calc Bear'!$B$63)/Inputs!$B$10,1),0))</f>
        <v/>
      </c>
      <c r="G65" s="46">
        <f>IF(AND(G43&gt;='Calc Bear'!$B$63,F43&lt;'Calc Bear'!$B$63),0,IF(AND(F43&gt;='Calc Bear'!$B$63,E43&lt;'Calc Bear'!$B$63),1-MIN((F43-'Calc Bear'!$B$63)/Inputs!$B$10,1),0))</f>
        <v/>
      </c>
    </row>
    <row r="66">
      <c r="A66" s="6" t="inlineStr">
        <is>
          <t>NTM EPS at target</t>
        </is>
      </c>
      <c r="B66" s="32">
        <f>C65*C30+D65*D30+E65*E30+F65*F30+G65*G30</f>
        <v/>
      </c>
    </row>
    <row r="67">
      <c r="A67" s="6" t="inlineStr">
        <is>
          <t>NTM EBITDA at target</t>
        </is>
      </c>
      <c r="B67" s="48">
        <f>C65*C20+D65*D20+E65*E20+F65*F20+G65*G20</f>
        <v/>
      </c>
    </row>
    <row r="68">
      <c r="A68" s="6" t="inlineStr">
        <is>
          <t>DCF (rolled to target date, less dividends)</t>
        </is>
      </c>
      <c r="B68" s="32">
        <f>'Calc Bear'!$B$58*(1+'Calc Bear'!$B$39)^'Calc Bear'!$B$62-Inputs!$B$13*'Calc Bear'!$B$62</f>
        <v/>
      </c>
    </row>
    <row r="69">
      <c r="A69" s="6" t="inlineStr">
        <is>
          <t>P/E x NTM EPS</t>
        </is>
      </c>
      <c r="B69" s="32">
        <f>Inputs!$B$51*'Calc Bear'!$B$8*'Calc Bear'!$B$66*Inputs!$B$14/Inputs!$B$15</f>
        <v/>
      </c>
    </row>
    <row r="70">
      <c r="A70" s="6" t="inlineStr">
        <is>
          <t>EV/EBITDA x NTM EBITDA, less net debt</t>
        </is>
      </c>
      <c r="B70" s="32">
        <f>(Inputs!$B$52*'Calc Bear'!$B$8*'Calc Bear'!$B$67-Inputs!$B$12)/Inputs!$B$11*Inputs!$B$14/Inputs!$B$15</f>
        <v/>
      </c>
    </row>
    <row r="71">
      <c r="A71" s="2" t="inlineStr">
        <is>
          <t>Price target (weighted)</t>
        </is>
      </c>
      <c r="B71" s="35">
        <f>IF(Inputs!$B$55+Inputs!$B$56+Inputs!$B$57=0,'Calc Bear'!$B$68,('Calc Bear'!$B$68*Inputs!$B$55+'Calc Bear'!$B$69*Inputs!$B$56+'Calc Bear'!$B$70*Inputs!$B$57)/(Inputs!$B$55+Inputs!$B$56+Inputs!$B$57))</f>
        <v/>
      </c>
    </row>
    <row r="72">
      <c r="A72" s="6" t="inlineStr">
        <is>
          <t>Weight used: dcf</t>
        </is>
      </c>
      <c r="B72" s="37">
        <f>IF(Inputs!$B$55+Inputs!$B$56+Inputs!$B$57=0,IF("dcf"="dcf",1,0),Inputs!$B$55/(Inputs!$B$55+Inputs!$B$56+Inputs!$B$57))</f>
        <v/>
      </c>
    </row>
    <row r="73">
      <c r="A73" s="6" t="inlineStr">
        <is>
          <t>Weight used: pe</t>
        </is>
      </c>
      <c r="B73" s="37">
        <f>IF(Inputs!$B$55+Inputs!$B$56+Inputs!$B$57=0,IF("pe"="dcf",1,0),Inputs!$B$56/(Inputs!$B$55+Inputs!$B$56+Inputs!$B$57))</f>
        <v/>
      </c>
    </row>
    <row r="74">
      <c r="A74" s="6" t="inlineStr">
        <is>
          <t>Weight used: ev_ebitda</t>
        </is>
      </c>
      <c r="B74" s="37">
        <f>IF(Inputs!$B$55+Inputs!$B$56+Inputs!$B$57=0,IF("ev_ebitda"="dcf",1,0),Inputs!$B$57/(Inputs!$B$55+Inputs!$B$56+Inputs!$B$57))</f>
        <v/>
      </c>
    </row>
    <row r="75">
      <c r="A75" s="6" t="inlineStr">
        <is>
          <t>Price return</t>
        </is>
      </c>
      <c r="B75" s="37">
        <f>'Calc Bear'!$B$71/Inputs!$B$6-1</f>
        <v/>
      </c>
    </row>
    <row r="76">
      <c r="A76" s="2" t="inlineStr">
        <is>
          <t>Total return (incl. dividends)</t>
        </is>
      </c>
      <c r="B76" s="40">
        <f>'Calc Bear'!$B$75+Inputs!$B$13*'Calc Bear'!$B$62/Inputs!$B$6</f>
        <v/>
      </c>
    </row>
    <row r="77">
      <c r="A77" s="6" t="inlineStr">
        <is>
          <t>Cost of equity used for the roll-forward</t>
        </is>
      </c>
      <c r="B77" s="37">
        <f>'Calc Bear'!$B$39</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cols>
    <col width="52" customWidth="1" min="1" max="1"/>
    <col width="14" customWidth="1" min="2" max="2"/>
  </cols>
  <sheetData>
    <row r="1">
      <c r="A1" s="1" t="inlineStr">
        <is>
          <t>Monte Carlo: base-case price target distribution</t>
        </is>
      </c>
    </row>
    <row r="2">
      <c r="A2" s="54" t="inlineStr">
        <is>
          <t>Script output (values, not formulas): 2,000 runs of the model engine, seed 7. Growth, margin, multiple and WACC deltas are drawn from normal distributions with the bull and bear cases at about the 90th and 10th percentiles.</t>
        </is>
      </c>
    </row>
    <row r="4">
      <c r="A4" s="2" t="inlineStr">
        <is>
          <t>Assumption</t>
        </is>
      </c>
      <c r="B4" s="2" t="inlineStr">
        <is>
          <t>Std dev</t>
        </is>
      </c>
    </row>
    <row r="5">
      <c r="A5" t="inlineStr">
        <is>
          <t>growth delta</t>
        </is>
      </c>
      <c r="B5" s="55" t="n">
        <v>0.1016619850187266</v>
      </c>
    </row>
    <row r="6">
      <c r="A6" t="inlineStr">
        <is>
          <t>margin delta</t>
        </is>
      </c>
      <c r="B6" s="55" t="n">
        <v>0.1170411985018727</v>
      </c>
    </row>
    <row r="7">
      <c r="A7" t="inlineStr">
        <is>
          <t>multiple delta</t>
        </is>
      </c>
      <c r="B7" s="55" t="n">
        <v>0.175561797752809</v>
      </c>
    </row>
    <row r="8">
      <c r="A8" t="inlineStr">
        <is>
          <t>wacc delta</t>
        </is>
      </c>
      <c r="B8" s="55" t="n">
        <v>0.003901373283395755</v>
      </c>
    </row>
    <row r="10">
      <c r="A10" s="2" t="inlineStr">
        <is>
          <t>Result</t>
        </is>
      </c>
    </row>
    <row r="11">
      <c r="A11" t="inlineStr">
        <is>
          <t>Current price</t>
        </is>
      </c>
      <c r="B11" s="13" t="n">
        <v>1062.29</v>
      </c>
    </row>
    <row r="12">
      <c r="A12" t="inlineStr">
        <is>
          <t>Mean price target</t>
        </is>
      </c>
      <c r="B12" s="13" t="n">
        <v>1266.704168945654</v>
      </c>
    </row>
    <row r="13">
      <c r="A13" t="inlineStr">
        <is>
          <t>P5</t>
        </is>
      </c>
      <c r="B13" s="13" t="n">
        <v>748.8764692803921</v>
      </c>
    </row>
    <row r="14">
      <c r="A14" t="inlineStr">
        <is>
          <t>P10</t>
        </is>
      </c>
      <c r="B14" s="13" t="n">
        <v>830.9473838060513</v>
      </c>
    </row>
    <row r="15">
      <c r="A15" t="inlineStr">
        <is>
          <t>P25</t>
        </is>
      </c>
      <c r="B15" s="13" t="n">
        <v>986.083699326769</v>
      </c>
    </row>
    <row r="16">
      <c r="A16" t="inlineStr">
        <is>
          <t>P50</t>
        </is>
      </c>
      <c r="B16" s="13" t="n">
        <v>1199.814614138445</v>
      </c>
    </row>
    <row r="17">
      <c r="A17" t="inlineStr">
        <is>
          <t>P75</t>
        </is>
      </c>
      <c r="B17" s="13" t="n">
        <v>1474.276445064654</v>
      </c>
    </row>
    <row r="18">
      <c r="A18" t="inlineStr">
        <is>
          <t>P90</t>
        </is>
      </c>
      <c r="B18" s="13" t="n">
        <v>1796.715487519138</v>
      </c>
    </row>
    <row r="19">
      <c r="A19" t="inlineStr">
        <is>
          <t>P95</t>
        </is>
      </c>
      <c r="B19" s="13" t="n">
        <v>1993.675878161454</v>
      </c>
    </row>
    <row r="20">
      <c r="A20" t="inlineStr">
        <is>
          <t>Chance the target is above today's price</t>
        </is>
      </c>
      <c r="B20" s="56" t="n">
        <v>0.666</v>
      </c>
    </row>
    <row r="21">
      <c r="A21" t="inlineStr">
        <is>
          <t>Chance the total return beats the S&amp;P 500 benchmark</t>
        </is>
      </c>
      <c r="B21" s="56" t="n">
        <v>0.5375</v>
      </c>
    </row>
    <row r="23">
      <c r="A23" s="2" t="inlineStr">
        <is>
          <t>Price target bucket (from)</t>
        </is>
      </c>
      <c r="B23" s="2" t="inlineStr">
        <is>
          <t>Runs</t>
        </is>
      </c>
    </row>
    <row r="24">
      <c r="A24" s="57" t="n">
        <v>447.82</v>
      </c>
      <c r="B24" t="n">
        <v>15</v>
      </c>
    </row>
    <row r="25">
      <c r="A25" s="57" t="n">
        <v>584.04</v>
      </c>
      <c r="B25" t="n">
        <v>55</v>
      </c>
    </row>
    <row r="26">
      <c r="A26" s="57" t="n">
        <v>720.26</v>
      </c>
      <c r="B26" t="n">
        <v>173</v>
      </c>
    </row>
    <row r="27">
      <c r="A27" s="57" t="n">
        <v>856.48</v>
      </c>
      <c r="B27" t="n">
        <v>268</v>
      </c>
    </row>
    <row r="28">
      <c r="A28" s="57" t="n">
        <v>992.7</v>
      </c>
      <c r="B28" t="n">
        <v>325</v>
      </c>
    </row>
    <row r="29">
      <c r="A29" s="57" t="n">
        <v>1128.93</v>
      </c>
      <c r="B29" t="n">
        <v>296</v>
      </c>
    </row>
    <row r="30">
      <c r="A30" s="57" t="n">
        <v>1265.15</v>
      </c>
      <c r="B30" t="n">
        <v>253</v>
      </c>
    </row>
    <row r="31">
      <c r="A31" s="57" t="n">
        <v>1401.37</v>
      </c>
      <c r="B31" t="n">
        <v>190</v>
      </c>
    </row>
    <row r="32">
      <c r="A32" s="57" t="n">
        <v>1537.59</v>
      </c>
      <c r="B32" t="n">
        <v>142</v>
      </c>
    </row>
    <row r="33">
      <c r="A33" s="57" t="n">
        <v>1673.81</v>
      </c>
      <c r="B33" t="n">
        <v>91</v>
      </c>
    </row>
    <row r="34">
      <c r="A34" s="57" t="n">
        <v>1810.03</v>
      </c>
      <c r="B34" t="n">
        <v>76</v>
      </c>
    </row>
    <row r="35">
      <c r="A35" s="57" t="n">
        <v>1946.25</v>
      </c>
      <c r="B35" t="n">
        <v>42</v>
      </c>
    </row>
    <row r="36">
      <c r="A36" s="57" t="n">
        <v>2082.47</v>
      </c>
      <c r="B36" t="n">
        <v>18</v>
      </c>
    </row>
    <row r="37">
      <c r="A37" s="57" t="n">
        <v>2218.69</v>
      </c>
      <c r="B37" t="n">
        <v>20</v>
      </c>
    </row>
    <row r="38">
      <c r="A38" s="57" t="n">
        <v>2354.91</v>
      </c>
      <c r="B38" t="n">
        <v>18</v>
      </c>
    </row>
    <row r="39">
      <c r="A39" s="57" t="n">
        <v>2491.13</v>
      </c>
      <c r="B39" t="n">
        <v>6</v>
      </c>
    </row>
    <row r="40">
      <c r="A40" s="57" t="n">
        <v>2627.35</v>
      </c>
      <c r="B40" t="n">
        <v>4</v>
      </c>
    </row>
    <row r="41">
      <c r="A41" s="57" t="n">
        <v>2763.58</v>
      </c>
      <c r="B41" t="n">
        <v>5</v>
      </c>
    </row>
    <row r="42">
      <c r="A42" s="57" t="n">
        <v>2899.8</v>
      </c>
      <c r="B42" t="n">
        <v>2</v>
      </c>
    </row>
    <row r="43">
      <c r="A43" s="57" t="n">
        <v>3036.02</v>
      </c>
      <c r="B43" t="n">
        <v>1</v>
      </c>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32" customWidth="1" min="1" max="1"/>
    <col width="14" customWidth="1" min="2" max="2"/>
    <col width="14" customWidth="1" min="3" max="3"/>
    <col width="14" customWidth="1" min="4" max="4"/>
    <col width="14" customWidth="1" min="5" max="5"/>
    <col width="14" customWidth="1" min="6" max="6"/>
    <col width="14" customWidth="1" min="7" max="7"/>
  </cols>
  <sheetData>
    <row r="1">
      <c r="A1" s="1" t="inlineStr">
        <is>
          <t>Value drivers: base price target, one input at a time</t>
        </is>
      </c>
    </row>
    <row r="2">
      <c r="A2" s="54" t="inlineStr">
        <is>
          <t>Script output (values). Largest swing first: these are the assumptions the thesis leans on.</t>
        </is>
      </c>
    </row>
    <row r="4">
      <c r="A4" s="3" t="inlineStr">
        <is>
          <t>Driver</t>
        </is>
      </c>
      <c r="B4" s="3" t="inlineStr">
        <is>
          <t>Low case</t>
        </is>
      </c>
      <c r="C4" s="3" t="inlineStr">
        <is>
          <t>PT (low)</t>
        </is>
      </c>
      <c r="D4" s="3" t="inlineStr">
        <is>
          <t>High case</t>
        </is>
      </c>
      <c r="E4" s="3" t="inlineStr">
        <is>
          <t>PT (high)</t>
        </is>
      </c>
      <c r="F4" s="3" t="inlineStr">
        <is>
          <t>Swing</t>
        </is>
      </c>
      <c r="G4" s="3" t="inlineStr">
        <is>
          <t>Base PT</t>
        </is>
      </c>
    </row>
    <row r="5">
      <c r="A5" t="inlineStr">
        <is>
          <t>Target and exit multiples</t>
        </is>
      </c>
      <c r="B5" t="inlineStr">
        <is>
          <t>-10%</t>
        </is>
      </c>
      <c r="C5" s="13" t="n">
        <v>1149.764157515029</v>
      </c>
      <c r="D5" t="inlineStr">
        <is>
          <t>+10%</t>
        </is>
      </c>
      <c r="E5" s="13" t="n">
        <v>1335.04728575736</v>
      </c>
      <c r="F5" s="13" t="n">
        <v>185.283128242331</v>
      </c>
      <c r="G5" s="13" t="n">
        <v>1242.405721636195</v>
      </c>
    </row>
    <row r="6">
      <c r="A6" t="inlineStr">
        <is>
          <t>Revenue growth (every year)</t>
        </is>
      </c>
      <c r="B6" t="inlineStr">
        <is>
          <t>-1 pt</t>
        </is>
      </c>
      <c r="C6" s="13" t="n">
        <v>1212.928715083116</v>
      </c>
      <c r="D6" t="inlineStr">
        <is>
          <t>+1 pt</t>
        </is>
      </c>
      <c r="E6" s="13" t="n">
        <v>1272.584627656438</v>
      </c>
      <c r="F6" s="13" t="n">
        <v>59.65591257332198</v>
      </c>
      <c r="G6" s="13" t="n">
        <v>1242.405721636195</v>
      </c>
    </row>
    <row r="7">
      <c r="A7" t="inlineStr">
        <is>
          <t>EBITDA margin (by final year)</t>
        </is>
      </c>
      <c r="B7" t="inlineStr">
        <is>
          <t>-1 pt</t>
        </is>
      </c>
      <c r="C7" s="13" t="n">
        <v>1230.399185269443</v>
      </c>
      <c r="D7" t="inlineStr">
        <is>
          <t>+1 pt</t>
        </is>
      </c>
      <c r="E7" s="13" t="n">
        <v>1254.412258002947</v>
      </c>
      <c r="F7" s="13" t="n">
        <v>24.01307273350335</v>
      </c>
      <c r="G7" s="13" t="n">
        <v>1242.405721636195</v>
      </c>
    </row>
    <row r="8">
      <c r="A8" t="inlineStr">
        <is>
          <t>Tax rate</t>
        </is>
      </c>
      <c r="B8" t="inlineStr">
        <is>
          <t>+1 pt</t>
        </is>
      </c>
      <c r="C8" s="13" t="n">
        <v>1235.371899396129</v>
      </c>
      <c r="D8" t="inlineStr">
        <is>
          <t>-1 pt</t>
        </is>
      </c>
      <c r="E8" s="13" t="n">
        <v>1249.439543876261</v>
      </c>
      <c r="F8" s="13" t="n">
        <v>14.06764448013269</v>
      </c>
      <c r="G8" s="13" t="n">
        <v>1242.405721636195</v>
      </c>
    </row>
    <row r="9">
      <c r="A9" t="inlineStr">
        <is>
          <t>CapEx % revenue</t>
        </is>
      </c>
      <c r="B9" t="inlineStr">
        <is>
          <t>+1 pt</t>
        </is>
      </c>
      <c r="C9" s="13" t="n">
        <v>1235.887816531884</v>
      </c>
      <c r="D9" t="inlineStr">
        <is>
          <t>-1 pt</t>
        </is>
      </c>
      <c r="E9" s="13" t="n">
        <v>1248.923626740506</v>
      </c>
      <c r="F9" s="13" t="n">
        <v>13.03581020862157</v>
      </c>
      <c r="G9" s="13" t="n">
        <v>1242.405721636195</v>
      </c>
    </row>
    <row r="10">
      <c r="A10" t="inlineStr">
        <is>
          <t>WACC</t>
        </is>
      </c>
      <c r="B10" t="inlineStr">
        <is>
          <t>+0.5 pt</t>
        </is>
      </c>
      <c r="C10" s="13" t="n">
        <v>1236.060999312715</v>
      </c>
      <c r="D10" t="inlineStr">
        <is>
          <t>-0.5 pt</t>
        </is>
      </c>
      <c r="E10" s="13" t="n">
        <v>1248.880730705166</v>
      </c>
      <c r="F10" s="13" t="n">
        <v>12.81973139245088</v>
      </c>
      <c r="G10" s="13" t="n">
        <v>1242.405721636195</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2026-10-05T20:23:22Z</dcterms:created>
  <dcterms:modified xmlns:dcterms="http://purl.org/dc/terms/" xmlns:xsi="http://www.w3.org/2001/XMLSchema-instance" xsi:type="dcterms:W3CDTF">2026-10-05T20:23:23Z</dcterms:modified>
</cp:coreProperties>
</file>